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6e6fe4d3f87ceae/Documentos/LaboratorioU/exportaciones/"/>
    </mc:Choice>
  </mc:AlternateContent>
  <xr:revisionPtr revIDLastSave="0" documentId="11_81EA057D4DE0B1459ADD8D2A320691C092D006DF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Equipos" sheetId="2" r:id="rId2"/>
    <sheet name="Préstamos" sheetId="3" r:id="rId3"/>
    <sheet name="Detalle de préstamos" sheetId="4" r:id="rId4"/>
    <sheet name="Devoluciones" sheetId="5" r:id="rId5"/>
    <sheet name="Mantenimientos" sheetId="6" r:id="rId6"/>
    <sheet name="Usuarios" sheetId="7" r:id="rId7"/>
    <sheet name="Laboratorios" sheetId="8" r:id="rId8"/>
    <sheet name="Tipos de equipo" sheetId="9" r:id="rId9"/>
    <sheet name="Roles" sheetId="10" r:id="rId10"/>
    <sheet name="Auditoría" sheetId="11" r:id="rId11"/>
    <sheet name="Recuperacion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0" l="1"/>
  <c r="D3" i="10"/>
  <c r="D2" i="10"/>
  <c r="E9" i="9"/>
  <c r="E8" i="9"/>
  <c r="E7" i="9"/>
  <c r="E6" i="9"/>
  <c r="E5" i="9"/>
  <c r="E4" i="9"/>
  <c r="E3" i="9"/>
  <c r="E2" i="9"/>
  <c r="G4" i="8"/>
  <c r="G3" i="8"/>
  <c r="G2" i="8"/>
  <c r="K3" i="3"/>
  <c r="L3" i="3" s="1"/>
  <c r="K2" i="3"/>
  <c r="L2" i="3" s="1"/>
  <c r="B39" i="1"/>
  <c r="B38" i="1"/>
  <c r="B37" i="1"/>
  <c r="B36" i="1"/>
  <c r="B33" i="1"/>
  <c r="B32" i="1"/>
  <c r="B31" i="1"/>
  <c r="B30" i="1"/>
  <c r="B29" i="1"/>
  <c r="B28" i="1"/>
  <c r="B25" i="1"/>
  <c r="B24" i="1"/>
  <c r="B23" i="1"/>
  <c r="B20" i="1"/>
  <c r="B19" i="1"/>
  <c r="B18" i="1"/>
  <c r="B16" i="1"/>
  <c r="B15" i="1"/>
  <c r="B12" i="1"/>
  <c r="B11" i="1"/>
  <c r="B10" i="1"/>
  <c r="B9" i="1"/>
  <c r="B8" i="1"/>
  <c r="B7" i="1"/>
  <c r="B17" i="1" l="1"/>
</calcChain>
</file>

<file path=xl/sharedStrings.xml><?xml version="1.0" encoding="utf-8"?>
<sst xmlns="http://schemas.openxmlformats.org/spreadsheetml/2006/main" count="520" uniqueCount="259">
  <si>
    <t>SIGELAB: exportación de la base de datos</t>
  </si>
  <si>
    <t>Base de datos</t>
  </si>
  <si>
    <t>SigelabDB</t>
  </si>
  <si>
    <t>Generado el</t>
  </si>
  <si>
    <t>Fecha y hora de la exportación; con ella se calcula la columna Vencido de Préstamos.</t>
  </si>
  <si>
    <t>EQUIPOS</t>
  </si>
  <si>
    <t>Total de equipos</t>
  </si>
  <si>
    <t>Ver pestaña Equipos</t>
  </si>
  <si>
    <t>Disponibles</t>
  </si>
  <si>
    <t>Prestados</t>
  </si>
  <si>
    <t>Dañados</t>
  </si>
  <si>
    <t>En mantenimiento</t>
  </si>
  <si>
    <t>De baja</t>
  </si>
  <si>
    <t>PRÉSTAMOS</t>
  </si>
  <si>
    <t>Total de préstamos</t>
  </si>
  <si>
    <t>Ver pestaña Préstamos</t>
  </si>
  <si>
    <t>Activos</t>
  </si>
  <si>
    <t>Vencidos (a la fecha de generación)</t>
  </si>
  <si>
    <t>Finalizados</t>
  </si>
  <si>
    <t>Equipos pendientes de devolver</t>
  </si>
  <si>
    <t>Ver pestaña Detalle de préstamos</t>
  </si>
  <si>
    <t>Devoluciones registradas</t>
  </si>
  <si>
    <t>Ver pestaña Devoluciones</t>
  </si>
  <si>
    <t>MANTENIMIENTO</t>
  </si>
  <si>
    <t>Total de mantenimientos</t>
  </si>
  <si>
    <t>Ver pestaña Mantenimientos</t>
  </si>
  <si>
    <t>En proceso</t>
  </si>
  <si>
    <t>USUARIOS Y CATÁLOGOS</t>
  </si>
  <si>
    <t>Usuarios</t>
  </si>
  <si>
    <t>Ver pestaña Usuarios</t>
  </si>
  <si>
    <t>Usuarios activos</t>
  </si>
  <si>
    <t>Usuarios con rostro registrado</t>
  </si>
  <si>
    <t>Laboratorios</t>
  </si>
  <si>
    <t>Ver pestaña Laboratorios</t>
  </si>
  <si>
    <t>Tipos de equipo</t>
  </si>
  <si>
    <t>Ver pestaña Tipos de equipo</t>
  </si>
  <si>
    <t>Roles</t>
  </si>
  <si>
    <t>Ver pestaña Roles</t>
  </si>
  <si>
    <t>AUDITORÍA</t>
  </si>
  <si>
    <t>Eventos registrados</t>
  </si>
  <si>
    <t>Ver pestaña Auditoría</t>
  </si>
  <si>
    <t>Inicios de sesión exitosos</t>
  </si>
  <si>
    <t>Inicios de sesión fallidos</t>
  </si>
  <si>
    <t>Solicitudes de recuperación de contraseña</t>
  </si>
  <si>
    <t>Ver pestaña Recuperaciones</t>
  </si>
  <si>
    <t>Notas</t>
  </si>
  <si>
    <t>• Datos leídos de SigelabDB tal como están en la base; no se modificó nada.</t>
  </si>
  <si>
    <t>• Por seguridad NO se exportan: contraseñas (hash), firmas faciales ni códigos de recuperación.</t>
  </si>
  <si>
    <t>• En la base el estado dañado se guarda como DANADO (sin ñ).</t>
  </si>
  <si>
    <t>• Pendientes y Vencido (pestaña Préstamos) y los conteos de esta hoja y de los catálogos son fórmulas.</t>
  </si>
  <si>
    <t>ID</t>
  </si>
  <si>
    <t>Código</t>
  </si>
  <si>
    <t>Nombre</t>
  </si>
  <si>
    <t>Tipo</t>
  </si>
  <si>
    <t>Marca</t>
  </si>
  <si>
    <t>Modelo</t>
  </si>
  <si>
    <t>N° de serie</t>
  </si>
  <si>
    <t>Cód. laboratorio</t>
  </si>
  <si>
    <t>Laboratorio</t>
  </si>
  <si>
    <t>Estado</t>
  </si>
  <si>
    <t>Observaciones</t>
  </si>
  <si>
    <t>CAM-001</t>
  </si>
  <si>
    <t>Cámara réflex</t>
  </si>
  <si>
    <t>Cámara</t>
  </si>
  <si>
    <t>Canon</t>
  </si>
  <si>
    <t>EOS Rebel T7</t>
  </si>
  <si>
    <t>CN-T7-000101</t>
  </si>
  <si>
    <t>LAB-01</t>
  </si>
  <si>
    <t>Laboratorio de Computación</t>
  </si>
  <si>
    <t>DISPONIBLE</t>
  </si>
  <si>
    <t>CAM-002</t>
  </si>
  <si>
    <t>Cámara web</t>
  </si>
  <si>
    <t>Logitech</t>
  </si>
  <si>
    <t>C920</t>
  </si>
  <si>
    <t>LG-C920-000102</t>
  </si>
  <si>
    <t>KIT-001</t>
  </si>
  <si>
    <t>Kit Arduino</t>
  </si>
  <si>
    <t>Kit electrónico</t>
  </si>
  <si>
    <t>Arduino</t>
  </si>
  <si>
    <t>Starter Kit UNO R3</t>
  </si>
  <si>
    <t>LAB-03</t>
  </si>
  <si>
    <t>Laboratorio de Electrónica</t>
  </si>
  <si>
    <t>LAP-001</t>
  </si>
  <si>
    <t>Laptop de préstamo 1</t>
  </si>
  <si>
    <t>Laptop</t>
  </si>
  <si>
    <t>Dell</t>
  </si>
  <si>
    <t>Latitude 5440</t>
  </si>
  <si>
    <t>DL-5440-000201</t>
  </si>
  <si>
    <t>LAP-002</t>
  </si>
  <si>
    <t>Laptop de préstamo 2</t>
  </si>
  <si>
    <t>Lenovo</t>
  </si>
  <si>
    <t>ThinkPad E14</t>
  </si>
  <si>
    <t>LN-E14-000202</t>
  </si>
  <si>
    <t>PRESTADO</t>
  </si>
  <si>
    <t>MON-001</t>
  </si>
  <si>
    <t>Monitor 24 pulgadas</t>
  </si>
  <si>
    <t>Monitor</t>
  </si>
  <si>
    <t>LG</t>
  </si>
  <si>
    <t>24MP400</t>
  </si>
  <si>
    <t>LG-24MP-000701</t>
  </si>
  <si>
    <t>PRO-001</t>
  </si>
  <si>
    <t>Proyector portátil</t>
  </si>
  <si>
    <t>Proyector</t>
  </si>
  <si>
    <t>Epson</t>
  </si>
  <si>
    <t>PowerLite X49</t>
  </si>
  <si>
    <t>EP-X49-000301</t>
  </si>
  <si>
    <t>ROU-001</t>
  </si>
  <si>
    <t>Router de práctica</t>
  </si>
  <si>
    <t>Router</t>
  </si>
  <si>
    <t>Cisco</t>
  </si>
  <si>
    <t>ISR 4221</t>
  </si>
  <si>
    <t>CS-4221-000401</t>
  </si>
  <si>
    <t>LAB-02</t>
  </si>
  <si>
    <t>Laboratorio de Redes</t>
  </si>
  <si>
    <t>SWI-001</t>
  </si>
  <si>
    <t>Switch de práctica</t>
  </si>
  <si>
    <t>Switch</t>
  </si>
  <si>
    <t>Catalyst 2960</t>
  </si>
  <si>
    <t>CS-2960-000501</t>
  </si>
  <si>
    <t>TAB-001</t>
  </si>
  <si>
    <t>Tablet de préstamo</t>
  </si>
  <si>
    <t>Tablet</t>
  </si>
  <si>
    <t>Samsung</t>
  </si>
  <si>
    <t>Galaxy Tab A9</t>
  </si>
  <si>
    <t>SM-A9-000601</t>
  </si>
  <si>
    <t>N°</t>
  </si>
  <si>
    <t>Solicitante</t>
  </si>
  <si>
    <t>Identificación</t>
  </si>
  <si>
    <t>Fecha de préstamo</t>
  </si>
  <si>
    <t>Devolver antes de</t>
  </si>
  <si>
    <t>Registró</t>
  </si>
  <si>
    <t>Equipos</t>
  </si>
  <si>
    <t>Devueltos</t>
  </si>
  <si>
    <t>Pendientes</t>
  </si>
  <si>
    <t>Vencido</t>
  </si>
  <si>
    <t>Kevin</t>
  </si>
  <si>
    <t>12345678</t>
  </si>
  <si>
    <t>FINALIZADO</t>
  </si>
  <si>
    <t>Ana Administradora</t>
  </si>
  <si>
    <t>Bien</t>
  </si>
  <si>
    <t>12345</t>
  </si>
  <si>
    <t>ACTIVO</t>
  </si>
  <si>
    <t>N° préstamo</t>
  </si>
  <si>
    <t>Código equipo</t>
  </si>
  <si>
    <t>Equipo</t>
  </si>
  <si>
    <t>Situación</t>
  </si>
  <si>
    <t>Fecha de devolución</t>
  </si>
  <si>
    <t>Condición</t>
  </si>
  <si>
    <t>Observación</t>
  </si>
  <si>
    <t>Recibió</t>
  </si>
  <si>
    <t>Devuelto</t>
  </si>
  <si>
    <t>BUENO</t>
  </si>
  <si>
    <t>ninguna</t>
  </si>
  <si>
    <t>Pendiente</t>
  </si>
  <si>
    <t>Descripción</t>
  </si>
  <si>
    <t>Responsable</t>
  </si>
  <si>
    <t>Ingreso</t>
  </si>
  <si>
    <t>Salida</t>
  </si>
  <si>
    <t>Resultado</t>
  </si>
  <si>
    <t>No hay mantenimientos registrados en la base de datos.</t>
  </si>
  <si>
    <t>Usuario</t>
  </si>
  <si>
    <t>Apellido</t>
  </si>
  <si>
    <t>Correo</t>
  </si>
  <si>
    <t>Rol</t>
  </si>
  <si>
    <t>Creado el</t>
  </si>
  <si>
    <t>Rostro registrado</t>
  </si>
  <si>
    <t>admin</t>
  </si>
  <si>
    <t>Ana</t>
  </si>
  <si>
    <t>Administradora</t>
  </si>
  <si>
    <t>admin@sigelab.edu.gt</t>
  </si>
  <si>
    <t>ADMIN</t>
  </si>
  <si>
    <t>Sí</t>
  </si>
  <si>
    <t>encargado</t>
  </si>
  <si>
    <t>Erick</t>
  </si>
  <si>
    <t>Encargado</t>
  </si>
  <si>
    <t>encargado@sigelab.edu.gt</t>
  </si>
  <si>
    <t>ENCARGADO</t>
  </si>
  <si>
    <t>No</t>
  </si>
  <si>
    <t>docente</t>
  </si>
  <si>
    <t>Diana</t>
  </si>
  <si>
    <t>Docente</t>
  </si>
  <si>
    <t>docente@sigelab.edu.gt</t>
  </si>
  <si>
    <t>DOCENTE</t>
  </si>
  <si>
    <t>inactivo</t>
  </si>
  <si>
    <t>Iván</t>
  </si>
  <si>
    <t>Inactivo</t>
  </si>
  <si>
    <t>inactivo@sigelab.edu.gt</t>
  </si>
  <si>
    <t>INACTIVO</t>
  </si>
  <si>
    <t>Samu.Perez</t>
  </si>
  <si>
    <t>Samuel</t>
  </si>
  <si>
    <t>Perez</t>
  </si>
  <si>
    <t>samuel@gmail.com</t>
  </si>
  <si>
    <t>akeneths</t>
  </si>
  <si>
    <t>Keneth</t>
  </si>
  <si>
    <t>Alvarado</t>
  </si>
  <si>
    <t>akeneth@gmail.com</t>
  </si>
  <si>
    <t>jvaldezj1</t>
  </si>
  <si>
    <t>Daniel</t>
  </si>
  <si>
    <t>Valdez</t>
  </si>
  <si>
    <t>jvaldezj1@miumg.edu.gt</t>
  </si>
  <si>
    <t>Alex</t>
  </si>
  <si>
    <t>Morales</t>
  </si>
  <si>
    <t>alex@gmail.com</t>
  </si>
  <si>
    <t>Twentl12</t>
  </si>
  <si>
    <t>Diego Alexander</t>
  </si>
  <si>
    <t>Perez Reyes</t>
  </si>
  <si>
    <t>addtwentl@gmail.com</t>
  </si>
  <si>
    <t>garcia001</t>
  </si>
  <si>
    <t>Jonathan</t>
  </si>
  <si>
    <t>Garcia</t>
  </si>
  <si>
    <t>jonathanalejandrogarciia@gmail.com</t>
  </si>
  <si>
    <t>Ubicación</t>
  </si>
  <si>
    <t>Capacidad</t>
  </si>
  <si>
    <t>Equipos asignados</t>
  </si>
  <si>
    <t>Edificio A, nivel 2</t>
  </si>
  <si>
    <t>Edificio A, nivel 3</t>
  </si>
  <si>
    <t>Edificio B, nivel 1</t>
  </si>
  <si>
    <t>Cámaras fotográficas y de video</t>
  </si>
  <si>
    <t>Kits de práctica de electrónica</t>
  </si>
  <si>
    <t>Computadoras portátiles</t>
  </si>
  <si>
    <t>Pantallas y monitores</t>
  </si>
  <si>
    <t>Proyectores multimedia</t>
  </si>
  <si>
    <t>Equipos de enrutamiento</t>
  </si>
  <si>
    <t>Equipos de conmutación</t>
  </si>
  <si>
    <t>Tabletas</t>
  </si>
  <si>
    <t>Acceso completo al sistema</t>
  </si>
  <si>
    <t>Operación cotidiana: equipos, préstamos, devoluciones y mantenimiento</t>
  </si>
  <si>
    <t>Consultas</t>
  </si>
  <si>
    <t>Fecha y hora</t>
  </si>
  <si>
    <t>Acción</t>
  </si>
  <si>
    <t>Entidad</t>
  </si>
  <si>
    <t>ID registro</t>
  </si>
  <si>
    <t>LOGIN_EXITOSO</t>
  </si>
  <si>
    <t>Inicio de sesión desde la app móvil.</t>
  </si>
  <si>
    <t>LOGIN_FALLIDO</t>
  </si>
  <si>
    <t>Contraseña incorrecta (app móvil).</t>
  </si>
  <si>
    <t>Inicio de sesión.</t>
  </si>
  <si>
    <t>ROSTRO_REGISTRADO</t>
  </si>
  <si>
    <t>UsuarioRostro</t>
  </si>
  <si>
    <t>Rostro registrado para garcia001.</t>
  </si>
  <si>
    <t>Rostro registrado para Twentl12.</t>
  </si>
  <si>
    <t>Rostro registrado para Alex.</t>
  </si>
  <si>
    <t>Rostro registrado para jvaldezj1.</t>
  </si>
  <si>
    <t>Usuario inexistente: akeneth87</t>
  </si>
  <si>
    <t>Rostro registrado para akeneths.</t>
  </si>
  <si>
    <t>Validación facial fallida.</t>
  </si>
  <si>
    <t>PRESTAMO_CREADO</t>
  </si>
  <si>
    <t>Prestamo</t>
  </si>
  <si>
    <t>Préstamo a Kevin con 1 equipo(s): LAP-002</t>
  </si>
  <si>
    <t>Rostro registrado para admin.</t>
  </si>
  <si>
    <t>Usuario inexistente: Alex</t>
  </si>
  <si>
    <t>EQUIPO_DEVUELTO</t>
  </si>
  <si>
    <t>Devolucion</t>
  </si>
  <si>
    <t>Equipo CAM-002 devuelto en condición BUENO (préstamo N° 1).</t>
  </si>
  <si>
    <t>Préstamo a Kevin con 1 equipo(s): CAM-002</t>
  </si>
  <si>
    <t>Creado</t>
  </si>
  <si>
    <t>Expira</t>
  </si>
  <si>
    <t>Usado</t>
  </si>
  <si>
    <t>No hay solicitudes de recuperación de contraseña registradas.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</si>
</sst>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64748B"/>
      <name val="Arial"/>
    </font>
    <font>
      <b/>
      <sz val="16"/>
      <color rgb="FF132640"/>
      <name val="Arial"/>
    </font>
    <font>
      <b/>
      <sz val="10"/>
      <name val="Arial"/>
    </font>
    <font>
      <b/>
      <sz val="11"/>
      <color rgb="FF00A3CC"/>
      <name val="Arial"/>
    </font>
    <font>
      <u/>
      <sz val="10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13264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E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0" fontId="6" fillId="0" borderId="0" xfId="0" applyFont="1"/>
    <xf numFmtId="0" fontId="2" fillId="0" borderId="1" xfId="0" applyFont="1" applyBorder="1"/>
    <xf numFmtId="0" fontId="5" fillId="0" borderId="1" xfId="0" applyFont="1" applyBorder="1" applyAlignment="1">
      <alignment horizontal="right"/>
    </xf>
    <xf numFmtId="0" fontId="7" fillId="0" borderId="1" xfId="0" applyFont="1" applyBorder="1"/>
    <xf numFmtId="0" fontId="0" fillId="0" borderId="1" xfId="0" applyBorder="1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5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139"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374151"/>
        <name val="Arial"/>
      </font>
      <fill>
        <patternFill patternType="solid">
          <fgColor rgb="FFE5E7EB"/>
          <bgColor rgb="FFE5E7EB"/>
        </patternFill>
      </fill>
    </dxf>
    <dxf>
      <font>
        <b/>
        <sz val="10"/>
        <color rgb="FF92400E"/>
        <name val="Arial"/>
      </font>
      <fill>
        <patternFill patternType="solid">
          <fgColor rgb="FFFEF3C7"/>
          <bgColor rgb="FFFEF3C7"/>
        </patternFill>
      </fill>
    </dxf>
    <dxf>
      <font>
        <b/>
        <sz val="10"/>
        <color rgb="FF991B1B"/>
        <name val="Arial"/>
      </font>
      <fill>
        <patternFill patternType="solid">
          <fgColor rgb="FFFEE2E2"/>
          <bgColor rgb="FFFEE2E2"/>
        </patternFill>
      </fill>
    </dxf>
    <dxf>
      <font>
        <b/>
        <sz val="10"/>
        <color rgb="FF1E40AF"/>
        <name val="Arial"/>
      </font>
      <fill>
        <patternFill patternType="solid">
          <fgColor rgb="FFDBEAFE"/>
          <bgColor rgb="FFDBEAFE"/>
        </patternFill>
      </fill>
    </dxf>
    <dxf>
      <font>
        <b/>
        <sz val="10"/>
        <color rgb="FF065F46"/>
        <name val="Arial"/>
      </font>
      <fill>
        <patternFill patternType="solid">
          <fgColor rgb="FFD1FAE5"/>
          <b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11">
  <autoFilter ref="A1:K11" xr:uid="{00000000-0009-0000-0100-000001000000}"/>
  <tableColumns count="11">
    <tableColumn id="1" xr3:uid="{00000000-0010-0000-0000-000001000000}" name="ID"/>
    <tableColumn id="2" xr3:uid="{00000000-0010-0000-0000-000002000000}" name="Código"/>
    <tableColumn id="3" xr3:uid="{00000000-0010-0000-0000-000003000000}" name="Nombre"/>
    <tableColumn id="4" xr3:uid="{00000000-0010-0000-0000-000004000000}" name="Tipo"/>
    <tableColumn id="5" xr3:uid="{00000000-0010-0000-0000-000005000000}" name="Marca"/>
    <tableColumn id="6" xr3:uid="{00000000-0010-0000-0000-000006000000}" name="Modelo"/>
    <tableColumn id="7" xr3:uid="{00000000-0010-0000-0000-000007000000}" name="N° de serie"/>
    <tableColumn id="8" xr3:uid="{00000000-0010-0000-0000-000008000000}" name="Cód. laboratorio"/>
    <tableColumn id="9" xr3:uid="{00000000-0010-0000-0000-000009000000}" name="Laboratorio"/>
    <tableColumn id="10" xr3:uid="{00000000-0010-0000-0000-00000A000000}" name="Estado"/>
    <tableColumn id="11" xr3:uid="{00000000-0010-0000-0000-00000B000000}" name="Observacion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L3">
  <autoFilter ref="A1:L3" xr:uid="{00000000-0009-0000-0100-000002000000}"/>
  <tableColumns count="12">
    <tableColumn id="1" xr3:uid="{00000000-0010-0000-0100-000001000000}" name="N°"/>
    <tableColumn id="2" xr3:uid="{00000000-0010-0000-0100-000002000000}" name="Solicitante"/>
    <tableColumn id="3" xr3:uid="{00000000-0010-0000-0100-000003000000}" name="Identificación"/>
    <tableColumn id="4" xr3:uid="{00000000-0010-0000-0100-000004000000}" name="Fecha de préstamo"/>
    <tableColumn id="5" xr3:uid="{00000000-0010-0000-0100-000005000000}" name="Devolver antes de"/>
    <tableColumn id="6" xr3:uid="{00000000-0010-0000-0100-000006000000}" name="Estado"/>
    <tableColumn id="7" xr3:uid="{00000000-0010-0000-0100-000007000000}" name="Registró"/>
    <tableColumn id="8" xr3:uid="{00000000-0010-0000-0100-000008000000}" name="Observaciones"/>
    <tableColumn id="9" xr3:uid="{00000000-0010-0000-0100-000009000000}" name="Equipos"/>
    <tableColumn id="10" xr3:uid="{00000000-0010-0000-0100-00000A000000}" name="Devueltos"/>
    <tableColumn id="11" xr3:uid="{00000000-0010-0000-0100-00000B000000}" name="Pendientes"/>
    <tableColumn id="12" xr3:uid="{00000000-0010-0000-0100-00000C000000}" name="Vencid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1:I3">
  <autoFilter ref="A1:I3" xr:uid="{00000000-0009-0000-0100-000003000000}"/>
  <tableColumns count="9">
    <tableColumn id="1" xr3:uid="{00000000-0010-0000-0200-000001000000}" name="ID"/>
    <tableColumn id="2" xr3:uid="{00000000-0010-0000-0200-000002000000}" name="N° préstamo"/>
    <tableColumn id="3" xr3:uid="{00000000-0010-0000-0200-000003000000}" name="Código equipo"/>
    <tableColumn id="4" xr3:uid="{00000000-0010-0000-0200-000004000000}" name="Equipo"/>
    <tableColumn id="5" xr3:uid="{00000000-0010-0000-0200-000005000000}" name="Situación"/>
    <tableColumn id="6" xr3:uid="{00000000-0010-0000-0200-000006000000}" name="Fecha de devolución"/>
    <tableColumn id="7" xr3:uid="{00000000-0010-0000-0200-000007000000}" name="Condición"/>
    <tableColumn id="8" xr3:uid="{00000000-0010-0000-0200-000008000000}" name="Observación"/>
    <tableColumn id="9" xr3:uid="{00000000-0010-0000-0200-000009000000}" name="Recibió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A1:H2">
  <autoFilter ref="A1:H2" xr:uid="{00000000-0009-0000-0100-000004000000}"/>
  <tableColumns count="8">
    <tableColumn id="1" xr3:uid="{00000000-0010-0000-0300-000001000000}" name="ID"/>
    <tableColumn id="2" xr3:uid="{00000000-0010-0000-0300-000002000000}" name="N° préstamo"/>
    <tableColumn id="3" xr3:uid="{00000000-0010-0000-0300-000003000000}" name="Código equipo"/>
    <tableColumn id="4" xr3:uid="{00000000-0010-0000-0300-000004000000}" name="Equipo"/>
    <tableColumn id="5" xr3:uid="{00000000-0010-0000-0300-000005000000}" name="Fecha de devolución"/>
    <tableColumn id="6" xr3:uid="{00000000-0010-0000-0300-000006000000}" name="Condición"/>
    <tableColumn id="7" xr3:uid="{00000000-0010-0000-0300-000007000000}" name="Observación"/>
    <tableColumn id="8" xr3:uid="{00000000-0010-0000-0300-000008000000}" name="Recibió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A1:I11">
  <autoFilter ref="A1:I11" xr:uid="{00000000-0009-0000-0100-000005000000}"/>
  <tableColumns count="9">
    <tableColumn id="1" xr3:uid="{00000000-0010-0000-0400-000001000000}" name="ID"/>
    <tableColumn id="2" xr3:uid="{00000000-0010-0000-0400-000002000000}" name="Usuario"/>
    <tableColumn id="3" xr3:uid="{00000000-0010-0000-0400-000003000000}" name="Nombre"/>
    <tableColumn id="4" xr3:uid="{00000000-0010-0000-0400-000004000000}" name="Apellido"/>
    <tableColumn id="5" xr3:uid="{00000000-0010-0000-0400-000005000000}" name="Correo"/>
    <tableColumn id="6" xr3:uid="{00000000-0010-0000-0400-000006000000}" name="Rol"/>
    <tableColumn id="7" xr3:uid="{00000000-0010-0000-0400-000007000000}" name="Estado"/>
    <tableColumn id="8" xr3:uid="{00000000-0010-0000-0400-000008000000}" name="Creado el"/>
    <tableColumn id="9" xr3:uid="{00000000-0010-0000-0400-000009000000}" name="Rostro registrad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A1:G4">
  <autoFilter ref="A1:G4" xr:uid="{00000000-0009-0000-0100-000006000000}"/>
  <tableColumns count="7">
    <tableColumn id="1" xr3:uid="{00000000-0010-0000-0500-000001000000}" name="ID"/>
    <tableColumn id="2" xr3:uid="{00000000-0010-0000-0500-000002000000}" name="Código"/>
    <tableColumn id="3" xr3:uid="{00000000-0010-0000-0500-000003000000}" name="Nombre"/>
    <tableColumn id="4" xr3:uid="{00000000-0010-0000-0500-000004000000}" name="Ubicación"/>
    <tableColumn id="5" xr3:uid="{00000000-0010-0000-0500-000005000000}" name="Capacidad"/>
    <tableColumn id="6" xr3:uid="{00000000-0010-0000-0500-000006000000}" name="Estado"/>
    <tableColumn id="7" xr3:uid="{00000000-0010-0000-0500-000007000000}" name="Equipos asignado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7" displayName="Tabla7" ref="A1:E9">
  <autoFilter ref="A1:E9" xr:uid="{00000000-0009-0000-0100-000007000000}"/>
  <tableColumns count="5">
    <tableColumn id="1" xr3:uid="{00000000-0010-0000-0600-000001000000}" name="ID"/>
    <tableColumn id="2" xr3:uid="{00000000-0010-0000-0600-000002000000}" name="Nombre"/>
    <tableColumn id="3" xr3:uid="{00000000-0010-0000-0600-000003000000}" name="Descripción"/>
    <tableColumn id="4" xr3:uid="{00000000-0010-0000-0600-000004000000}" name="Estado"/>
    <tableColumn id="5" xr3:uid="{00000000-0010-0000-0600-000005000000}" name="Equipo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8" displayName="Tabla8" ref="A1:D4">
  <autoFilter ref="A1:D4" xr:uid="{00000000-0009-0000-0100-000008000000}"/>
  <tableColumns count="4">
    <tableColumn id="1" xr3:uid="{00000000-0010-0000-0700-000001000000}" name="ID"/>
    <tableColumn id="2" xr3:uid="{00000000-0010-0000-0700-000002000000}" name="Rol"/>
    <tableColumn id="3" xr3:uid="{00000000-0010-0000-0700-000003000000}" name="Descripción"/>
    <tableColumn id="4" xr3:uid="{00000000-0010-0000-0700-000004000000}" name="Usuarios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9" displayName="Tabla9" ref="A1:G40">
  <autoFilter ref="A1:G40" xr:uid="{00000000-0009-0000-0100-000009000000}"/>
  <tableColumns count="7">
    <tableColumn id="1" xr3:uid="{00000000-0010-0000-0800-000001000000}" name="ID"/>
    <tableColumn id="2" xr3:uid="{00000000-0010-0000-0800-000002000000}" name="Fecha y hora"/>
    <tableColumn id="3" xr3:uid="{00000000-0010-0000-0800-000003000000}" name="Acción"/>
    <tableColumn id="4" xr3:uid="{00000000-0010-0000-0800-000004000000}" name="Entidad"/>
    <tableColumn id="5" xr3:uid="{00000000-0010-0000-0800-000005000000}" name="ID registro"/>
    <tableColumn id="6" xr3:uid="{00000000-0010-0000-0800-000006000000}" name="Usuario"/>
    <tableColumn id="7" xr3:uid="{00000000-0010-0000-0800-000007000000}" name="Descripció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32640"/>
  </sheetPr>
  <dimension ref="A1:C45"/>
  <sheetViews>
    <sheetView tabSelected="1" workbookViewId="0"/>
  </sheetViews>
  <sheetFormatPr baseColWidth="10" defaultColWidth="9.140625" defaultRowHeight="15" x14ac:dyDescent="0.25"/>
  <cols>
    <col min="1" max="1" width="44" customWidth="1"/>
    <col min="2" max="2" width="20" customWidth="1"/>
    <col min="3" max="3" width="48" customWidth="1"/>
  </cols>
  <sheetData>
    <row r="1" spans="1:3" ht="20.25" x14ac:dyDescent="0.3">
      <c r="A1" s="1" t="s">
        <v>0</v>
      </c>
    </row>
    <row r="3" spans="1:3" x14ac:dyDescent="0.25">
      <c r="A3" s="2" t="s">
        <v>1</v>
      </c>
      <c r="B3" s="3" t="s">
        <v>2</v>
      </c>
    </row>
    <row r="4" spans="1:3" x14ac:dyDescent="0.25">
      <c r="A4" s="2" t="s">
        <v>3</v>
      </c>
      <c r="B4" s="4">
        <v>46321.877488425933</v>
      </c>
      <c r="C4" s="5" t="s">
        <v>4</v>
      </c>
    </row>
    <row r="6" spans="1:3" x14ac:dyDescent="0.25">
      <c r="A6" s="6" t="s">
        <v>5</v>
      </c>
    </row>
    <row r="7" spans="1:3" x14ac:dyDescent="0.25">
      <c r="A7" s="7" t="s">
        <v>6</v>
      </c>
      <c r="B7" s="8">
        <f>COUNTA(Equipos!$B:$B)-1</f>
        <v>10</v>
      </c>
      <c r="C7" s="9" t="s">
        <v>7</v>
      </c>
    </row>
    <row r="8" spans="1:3" x14ac:dyDescent="0.25">
      <c r="A8" s="7" t="s">
        <v>8</v>
      </c>
      <c r="B8" s="8">
        <f>COUNTIF(Equipos!$J:$J,"DISPONIBLE")</f>
        <v>9</v>
      </c>
      <c r="C8" s="10"/>
    </row>
    <row r="9" spans="1:3" x14ac:dyDescent="0.25">
      <c r="A9" s="7" t="s">
        <v>9</v>
      </c>
      <c r="B9" s="8">
        <f>COUNTIF(Equipos!$J:$J,"PRESTADO")</f>
        <v>1</v>
      </c>
      <c r="C9" s="10"/>
    </row>
    <row r="10" spans="1:3" x14ac:dyDescent="0.25">
      <c r="A10" s="7" t="s">
        <v>10</v>
      </c>
      <c r="B10" s="8">
        <f>COUNTIF(Equipos!$J:$J,"DANADO")</f>
        <v>0</v>
      </c>
      <c r="C10" s="10"/>
    </row>
    <row r="11" spans="1:3" x14ac:dyDescent="0.25">
      <c r="A11" s="7" t="s">
        <v>11</v>
      </c>
      <c r="B11" s="8">
        <f>COUNTIF(Equipos!$J:$J,"MANTENIMIENTO")</f>
        <v>0</v>
      </c>
      <c r="C11" s="10"/>
    </row>
    <row r="12" spans="1:3" x14ac:dyDescent="0.25">
      <c r="A12" s="7" t="s">
        <v>12</v>
      </c>
      <c r="B12" s="8">
        <f>COUNTIF(Equipos!$J:$J,"BAJA")</f>
        <v>0</v>
      </c>
      <c r="C12" s="10"/>
    </row>
    <row r="14" spans="1:3" x14ac:dyDescent="0.25">
      <c r="A14" s="6" t="s">
        <v>13</v>
      </c>
    </row>
    <row r="15" spans="1:3" x14ac:dyDescent="0.25">
      <c r="A15" s="7" t="s">
        <v>14</v>
      </c>
      <c r="B15" s="8">
        <f>COUNTA(Préstamos!$B:$B)-1</f>
        <v>2</v>
      </c>
      <c r="C15" s="9" t="s">
        <v>15</v>
      </c>
    </row>
    <row r="16" spans="1:3" x14ac:dyDescent="0.25">
      <c r="A16" s="7" t="s">
        <v>16</v>
      </c>
      <c r="B16" s="8">
        <f>COUNTIF(Préstamos!$F:$F,"ACTIVO")</f>
        <v>1</v>
      </c>
      <c r="C16" s="10"/>
    </row>
    <row r="17" spans="1:3" x14ac:dyDescent="0.25">
      <c r="A17" s="7" t="s">
        <v>17</v>
      </c>
      <c r="B17" s="8">
        <f>COUNTIF(Préstamos!$L:$L,"Sí")</f>
        <v>1</v>
      </c>
      <c r="C17" s="10"/>
    </row>
    <row r="18" spans="1:3" x14ac:dyDescent="0.25">
      <c r="A18" s="7" t="s">
        <v>18</v>
      </c>
      <c r="B18" s="8">
        <f>COUNTIF(Préstamos!$F:$F,"FINALIZADO")</f>
        <v>1</v>
      </c>
      <c r="C18" s="10"/>
    </row>
    <row r="19" spans="1:3" x14ac:dyDescent="0.25">
      <c r="A19" s="7" t="s">
        <v>19</v>
      </c>
      <c r="B19" s="8">
        <f>SUM(Préstamos!$K:$K)</f>
        <v>1</v>
      </c>
      <c r="C19" s="9" t="s">
        <v>20</v>
      </c>
    </row>
    <row r="20" spans="1:3" x14ac:dyDescent="0.25">
      <c r="A20" s="7" t="s">
        <v>21</v>
      </c>
      <c r="B20" s="8">
        <f>COUNTA(Devoluciones!$B:$B)-1</f>
        <v>1</v>
      </c>
      <c r="C20" s="9" t="s">
        <v>22</v>
      </c>
    </row>
    <row r="22" spans="1:3" x14ac:dyDescent="0.25">
      <c r="A22" s="6" t="s">
        <v>23</v>
      </c>
    </row>
    <row r="23" spans="1:3" x14ac:dyDescent="0.25">
      <c r="A23" s="7" t="s">
        <v>24</v>
      </c>
      <c r="B23" s="8">
        <f>COUNTA(Mantenimientos!$B:$B)-1</f>
        <v>0</v>
      </c>
      <c r="C23" s="9" t="s">
        <v>25</v>
      </c>
    </row>
    <row r="24" spans="1:3" x14ac:dyDescent="0.25">
      <c r="A24" s="7" t="s">
        <v>26</v>
      </c>
      <c r="B24" s="8">
        <f>COUNTIF(Mantenimientos!$I:$I,"EN_PROCESO")</f>
        <v>0</v>
      </c>
      <c r="C24" s="10"/>
    </row>
    <row r="25" spans="1:3" x14ac:dyDescent="0.25">
      <c r="A25" s="7" t="s">
        <v>18</v>
      </c>
      <c r="B25" s="8">
        <f>COUNTIF(Mantenimientos!$I:$I,"FINALIZADO")</f>
        <v>0</v>
      </c>
      <c r="C25" s="10"/>
    </row>
    <row r="27" spans="1:3" x14ac:dyDescent="0.25">
      <c r="A27" s="6" t="s">
        <v>27</v>
      </c>
    </row>
    <row r="28" spans="1:3" x14ac:dyDescent="0.25">
      <c r="A28" s="7" t="s">
        <v>28</v>
      </c>
      <c r="B28" s="8">
        <f>COUNTA(Usuarios!$B:$B)-1</f>
        <v>10</v>
      </c>
      <c r="C28" s="9" t="s">
        <v>29</v>
      </c>
    </row>
    <row r="29" spans="1:3" x14ac:dyDescent="0.25">
      <c r="A29" s="7" t="s">
        <v>30</v>
      </c>
      <c r="B29" s="8">
        <f>COUNTIF(Usuarios!$G:$G,"ACTIVO")</f>
        <v>9</v>
      </c>
      <c r="C29" s="10"/>
    </row>
    <row r="30" spans="1:3" x14ac:dyDescent="0.25">
      <c r="A30" s="7" t="s">
        <v>31</v>
      </c>
      <c r="B30" s="8">
        <f>COUNTIF(Usuarios!$I:$I,"Sí")</f>
        <v>6</v>
      </c>
      <c r="C30" s="10"/>
    </row>
    <row r="31" spans="1:3" x14ac:dyDescent="0.25">
      <c r="A31" s="7" t="s">
        <v>32</v>
      </c>
      <c r="B31" s="8">
        <f>COUNTA(Laboratorios!$B:$B)-1</f>
        <v>3</v>
      </c>
      <c r="C31" s="9" t="s">
        <v>33</v>
      </c>
    </row>
    <row r="32" spans="1:3" x14ac:dyDescent="0.25">
      <c r="A32" s="7" t="s">
        <v>34</v>
      </c>
      <c r="B32" s="8">
        <f>COUNTA('Tipos de equipo'!$B:$B)-1</f>
        <v>8</v>
      </c>
      <c r="C32" s="9" t="s">
        <v>35</v>
      </c>
    </row>
    <row r="33" spans="1:3" x14ac:dyDescent="0.25">
      <c r="A33" s="7" t="s">
        <v>36</v>
      </c>
      <c r="B33" s="8">
        <f>COUNTA(Roles!$B:$B)-1</f>
        <v>3</v>
      </c>
      <c r="C33" s="9" t="s">
        <v>37</v>
      </c>
    </row>
    <row r="35" spans="1:3" x14ac:dyDescent="0.25">
      <c r="A35" s="6" t="s">
        <v>38</v>
      </c>
    </row>
    <row r="36" spans="1:3" x14ac:dyDescent="0.25">
      <c r="A36" s="7" t="s">
        <v>39</v>
      </c>
      <c r="B36" s="8">
        <f>COUNTA(Auditoría!$B:$B)-1</f>
        <v>39</v>
      </c>
      <c r="C36" s="9" t="s">
        <v>40</v>
      </c>
    </row>
    <row r="37" spans="1:3" x14ac:dyDescent="0.25">
      <c r="A37" s="7" t="s">
        <v>41</v>
      </c>
      <c r="B37" s="8">
        <f>COUNTIF(Auditoría!$C:$C,"LOGIN_EXITOSO")</f>
        <v>23</v>
      </c>
      <c r="C37" s="10"/>
    </row>
    <row r="38" spans="1:3" x14ac:dyDescent="0.25">
      <c r="A38" s="7" t="s">
        <v>42</v>
      </c>
      <c r="B38" s="8">
        <f>COUNTIF(Auditoría!$C:$C,"LOGIN_FALLIDO")</f>
        <v>7</v>
      </c>
      <c r="C38" s="10"/>
    </row>
    <row r="39" spans="1:3" x14ac:dyDescent="0.25">
      <c r="A39" s="7" t="s">
        <v>43</v>
      </c>
      <c r="B39" s="8">
        <f>COUNTA(Recuperaciones!$B:$B)-1</f>
        <v>0</v>
      </c>
      <c r="C39" s="9" t="s">
        <v>44</v>
      </c>
    </row>
    <row r="41" spans="1:3" x14ac:dyDescent="0.25">
      <c r="A41" s="2" t="s">
        <v>45</v>
      </c>
    </row>
    <row r="42" spans="1:3" x14ac:dyDescent="0.25">
      <c r="A42" s="5" t="s">
        <v>46</v>
      </c>
    </row>
    <row r="43" spans="1:3" x14ac:dyDescent="0.25">
      <c r="A43" s="5" t="s">
        <v>47</v>
      </c>
    </row>
    <row r="44" spans="1:3" x14ac:dyDescent="0.25">
      <c r="A44" s="5" t="s">
        <v>48</v>
      </c>
    </row>
    <row r="45" spans="1:3" x14ac:dyDescent="0.25">
      <c r="A45" s="5" t="s">
        <v>49</v>
      </c>
    </row>
  </sheetData>
  <hyperlinks>
    <hyperlink ref="C7" location="'Equipos'!A1" display="Ver pestaña Equipos" xr:uid="{00000000-0004-0000-0000-000000000000}"/>
    <hyperlink ref="C15" location="'Préstamos'!A1" display="Ver pestaña Préstamos" xr:uid="{00000000-0004-0000-0000-000001000000}"/>
    <hyperlink ref="C19" location="'Detalle de préstamos'!A1" display="Ver pestaña Detalle de préstamos" xr:uid="{00000000-0004-0000-0000-000002000000}"/>
    <hyperlink ref="C20" location="'Devoluciones'!A1" display="Ver pestaña Devoluciones" xr:uid="{00000000-0004-0000-0000-000003000000}"/>
    <hyperlink ref="C23" location="'Mantenimientos'!A1" display="Ver pestaña Mantenimientos" xr:uid="{00000000-0004-0000-0000-000004000000}"/>
    <hyperlink ref="C28" location="'Usuarios'!A1" display="Ver pestaña Usuarios" xr:uid="{00000000-0004-0000-0000-000005000000}"/>
    <hyperlink ref="C31" location="'Laboratorios'!A1" display="Ver pestaña Laboratorios" xr:uid="{00000000-0004-0000-0000-000006000000}"/>
    <hyperlink ref="C32" location="'Tipos de equipo'!A1" display="Ver pestaña Tipos de equipo" xr:uid="{00000000-0004-0000-0000-000007000000}"/>
    <hyperlink ref="C33" location="'Roles'!A1" display="Ver pestaña Roles" xr:uid="{00000000-0004-0000-0000-000008000000}"/>
    <hyperlink ref="C36" location="'Auditoría'!A1" display="Ver pestaña Auditoría" xr:uid="{00000000-0004-0000-0000-000009000000}"/>
    <hyperlink ref="C39" location="'Recuperaciones'!A1" display="Ver pestaña Recuperaciones" xr:uid="{00000000-0004-0000-0000-00000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C9FF"/>
  </sheetPr>
  <dimension ref="A1:K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1" customWidth="1"/>
    <col min="3" max="3" width="26" customWidth="1"/>
    <col min="4" max="4" width="16" customWidth="1"/>
    <col min="5" max="5" width="13" customWidth="1"/>
    <col min="6" max="7" width="17" customWidth="1"/>
    <col min="8" max="8" width="12" customWidth="1"/>
    <col min="9" max="9" width="30" customWidth="1"/>
    <col min="10" max="10" width="16" customWidth="1"/>
    <col min="11" max="11" width="34" customWidth="1"/>
  </cols>
  <sheetData>
    <row r="1" spans="1:11" ht="30" customHeight="1" x14ac:dyDescent="0.25">
      <c r="A1" s="11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</row>
    <row r="2" spans="1:11" x14ac:dyDescent="0.25">
      <c r="A2" s="12">
        <v>1</v>
      </c>
      <c r="B2" s="12" t="s">
        <v>61</v>
      </c>
      <c r="C2" s="12" t="s">
        <v>62</v>
      </c>
      <c r="D2" s="12" t="s">
        <v>63</v>
      </c>
      <c r="E2" s="12" t="s">
        <v>64</v>
      </c>
      <c r="F2" s="12" t="s">
        <v>65</v>
      </c>
      <c r="G2" s="12" t="s">
        <v>66</v>
      </c>
      <c r="H2" s="12" t="s">
        <v>67</v>
      </c>
      <c r="I2" s="12" t="s">
        <v>68</v>
      </c>
      <c r="J2" s="12" t="s">
        <v>69</v>
      </c>
      <c r="K2" s="13"/>
    </row>
    <row r="3" spans="1:11" x14ac:dyDescent="0.25">
      <c r="A3" s="12">
        <v>2</v>
      </c>
      <c r="B3" s="12" t="s">
        <v>70</v>
      </c>
      <c r="C3" s="12" t="s">
        <v>71</v>
      </c>
      <c r="D3" s="12" t="s">
        <v>63</v>
      </c>
      <c r="E3" s="12" t="s">
        <v>72</v>
      </c>
      <c r="F3" s="12" t="s">
        <v>73</v>
      </c>
      <c r="G3" s="12" t="s">
        <v>74</v>
      </c>
      <c r="H3" s="12" t="s">
        <v>67</v>
      </c>
      <c r="I3" s="12" t="s">
        <v>68</v>
      </c>
      <c r="J3" s="12" t="s">
        <v>69</v>
      </c>
      <c r="K3" s="13"/>
    </row>
    <row r="4" spans="1:11" x14ac:dyDescent="0.25">
      <c r="A4" s="12">
        <v>10</v>
      </c>
      <c r="B4" s="12" t="s">
        <v>75</v>
      </c>
      <c r="C4" s="12" t="s">
        <v>76</v>
      </c>
      <c r="D4" s="12" t="s">
        <v>77</v>
      </c>
      <c r="E4" s="12" t="s">
        <v>78</v>
      </c>
      <c r="F4" s="12" t="s">
        <v>79</v>
      </c>
      <c r="G4" s="12"/>
      <c r="H4" s="12" t="s">
        <v>80</v>
      </c>
      <c r="I4" s="12" t="s">
        <v>81</v>
      </c>
      <c r="J4" s="12" t="s">
        <v>69</v>
      </c>
      <c r="K4" s="13"/>
    </row>
    <row r="5" spans="1:11" x14ac:dyDescent="0.25">
      <c r="A5" s="12">
        <v>3</v>
      </c>
      <c r="B5" s="12" t="s">
        <v>82</v>
      </c>
      <c r="C5" s="12" t="s">
        <v>83</v>
      </c>
      <c r="D5" s="12" t="s">
        <v>84</v>
      </c>
      <c r="E5" s="12" t="s">
        <v>85</v>
      </c>
      <c r="F5" s="12" t="s">
        <v>86</v>
      </c>
      <c r="G5" s="12" t="s">
        <v>87</v>
      </c>
      <c r="H5" s="12" t="s">
        <v>67</v>
      </c>
      <c r="I5" s="12" t="s">
        <v>68</v>
      </c>
      <c r="J5" s="12" t="s">
        <v>69</v>
      </c>
      <c r="K5" s="13"/>
    </row>
    <row r="6" spans="1:11" x14ac:dyDescent="0.25">
      <c r="A6" s="12">
        <v>4</v>
      </c>
      <c r="B6" s="12" t="s">
        <v>88</v>
      </c>
      <c r="C6" s="12" t="s">
        <v>89</v>
      </c>
      <c r="D6" s="12" t="s">
        <v>84</v>
      </c>
      <c r="E6" s="12" t="s">
        <v>90</v>
      </c>
      <c r="F6" s="12" t="s">
        <v>91</v>
      </c>
      <c r="G6" s="12" t="s">
        <v>92</v>
      </c>
      <c r="H6" s="12" t="s">
        <v>67</v>
      </c>
      <c r="I6" s="12" t="s">
        <v>68</v>
      </c>
      <c r="J6" s="12" t="s">
        <v>93</v>
      </c>
      <c r="K6" s="13"/>
    </row>
    <row r="7" spans="1:11" x14ac:dyDescent="0.25">
      <c r="A7" s="12">
        <v>9</v>
      </c>
      <c r="B7" s="12" t="s">
        <v>94</v>
      </c>
      <c r="C7" s="12" t="s">
        <v>95</v>
      </c>
      <c r="D7" s="12" t="s">
        <v>96</v>
      </c>
      <c r="E7" s="12" t="s">
        <v>97</v>
      </c>
      <c r="F7" s="12" t="s">
        <v>98</v>
      </c>
      <c r="G7" s="12" t="s">
        <v>99</v>
      </c>
      <c r="H7" s="12" t="s">
        <v>80</v>
      </c>
      <c r="I7" s="12" t="s">
        <v>81</v>
      </c>
      <c r="J7" s="12" t="s">
        <v>69</v>
      </c>
      <c r="K7" s="13"/>
    </row>
    <row r="8" spans="1:11" x14ac:dyDescent="0.25">
      <c r="A8" s="12">
        <v>5</v>
      </c>
      <c r="B8" s="12" t="s">
        <v>100</v>
      </c>
      <c r="C8" s="12" t="s">
        <v>101</v>
      </c>
      <c r="D8" s="12" t="s">
        <v>102</v>
      </c>
      <c r="E8" s="12" t="s">
        <v>103</v>
      </c>
      <c r="F8" s="12" t="s">
        <v>104</v>
      </c>
      <c r="G8" s="12" t="s">
        <v>105</v>
      </c>
      <c r="H8" s="12" t="s">
        <v>67</v>
      </c>
      <c r="I8" s="12" t="s">
        <v>68</v>
      </c>
      <c r="J8" s="12" t="s">
        <v>69</v>
      </c>
      <c r="K8" s="13"/>
    </row>
    <row r="9" spans="1:11" x14ac:dyDescent="0.25">
      <c r="A9" s="12">
        <v>6</v>
      </c>
      <c r="B9" s="12" t="s">
        <v>106</v>
      </c>
      <c r="C9" s="12" t="s">
        <v>107</v>
      </c>
      <c r="D9" s="12" t="s">
        <v>108</v>
      </c>
      <c r="E9" s="12" t="s">
        <v>109</v>
      </c>
      <c r="F9" s="12" t="s">
        <v>110</v>
      </c>
      <c r="G9" s="12" t="s">
        <v>111</v>
      </c>
      <c r="H9" s="12" t="s">
        <v>112</v>
      </c>
      <c r="I9" s="12" t="s">
        <v>113</v>
      </c>
      <c r="J9" s="12" t="s">
        <v>69</v>
      </c>
      <c r="K9" s="13"/>
    </row>
    <row r="10" spans="1:11" x14ac:dyDescent="0.25">
      <c r="A10" s="12">
        <v>7</v>
      </c>
      <c r="B10" s="12" t="s">
        <v>114</v>
      </c>
      <c r="C10" s="12" t="s">
        <v>115</v>
      </c>
      <c r="D10" s="12" t="s">
        <v>116</v>
      </c>
      <c r="E10" s="12" t="s">
        <v>109</v>
      </c>
      <c r="F10" s="12" t="s">
        <v>117</v>
      </c>
      <c r="G10" s="12" t="s">
        <v>118</v>
      </c>
      <c r="H10" s="12" t="s">
        <v>112</v>
      </c>
      <c r="I10" s="12" t="s">
        <v>113</v>
      </c>
      <c r="J10" s="12" t="s">
        <v>69</v>
      </c>
      <c r="K10" s="13"/>
    </row>
    <row r="11" spans="1:11" x14ac:dyDescent="0.25">
      <c r="A11" s="12">
        <v>8</v>
      </c>
      <c r="B11" s="12" t="s">
        <v>119</v>
      </c>
      <c r="C11" s="12" t="s">
        <v>120</v>
      </c>
      <c r="D11" s="12" t="s">
        <v>121</v>
      </c>
      <c r="E11" s="12" t="s">
        <v>122</v>
      </c>
      <c r="F11" s="12" t="s">
        <v>123</v>
      </c>
      <c r="G11" s="12" t="s">
        <v>124</v>
      </c>
      <c r="H11" s="12" t="s">
        <v>112</v>
      </c>
      <c r="I11" s="12" t="s">
        <v>113</v>
      </c>
      <c r="J11" s="12" t="s">
        <v>69</v>
      </c>
      <c r="K11" s="13"/>
    </row>
  </sheetData>
  <conditionalFormatting sqref="J2:J11">
    <cfRule type="cellIs" dxfId="138" priority="1" operator="equal">
      <formula>"DISPONIBLE"</formula>
    </cfRule>
    <cfRule type="cellIs" dxfId="137" priority="2" operator="equal">
      <formula>"PRESTADO"</formula>
    </cfRule>
    <cfRule type="cellIs" dxfId="136" priority="3" operator="equal">
      <formula>"DANADO"</formula>
    </cfRule>
    <cfRule type="cellIs" dxfId="135" priority="4" operator="equal">
      <formula>"MANTENIMIENTO"</formula>
    </cfRule>
    <cfRule type="cellIs" dxfId="134" priority="5" operator="equal">
      <formula>"BAJA"</formula>
    </cfRule>
    <cfRule type="cellIs" dxfId="133" priority="6" operator="equal">
      <formula>"ACTIVO"</formula>
    </cfRule>
    <cfRule type="cellIs" dxfId="132" priority="7" operator="equal">
      <formula>"FINALIZADO"</formula>
    </cfRule>
    <cfRule type="cellIs" dxfId="131" priority="8" operator="equal">
      <formula>"INACTIVO"</formula>
    </cfRule>
    <cfRule type="cellIs" dxfId="130" priority="9" operator="equal">
      <formula>"EN_PROCESO"</formula>
    </cfRule>
    <cfRule type="cellIs" dxfId="129" priority="10" operator="equal">
      <formula>"Pendiente"</formula>
    </cfRule>
    <cfRule type="cellIs" dxfId="128" priority="11" operator="equal">
      <formula>"Devuelto"</formula>
    </cfRule>
    <cfRule type="cellIs" dxfId="127" priority="12" operator="equal">
      <formula>"BUENO"</formula>
    </cfRule>
    <cfRule type="cellIs" dxfId="126" priority="13" operator="equal">
      <formula>"LOGIN_FALLIDO"</formula>
    </cfRule>
    <cfRule type="cellIs" dxfId="125" priority="14" operator="equal">
      <formula>"Sí"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C9FF"/>
  </sheetPr>
  <dimension ref="A1:L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24" customWidth="1"/>
    <col min="3" max="3" width="16" customWidth="1"/>
    <col min="4" max="5" width="18" customWidth="1"/>
    <col min="6" max="6" width="13" customWidth="1"/>
    <col min="7" max="7" width="22" customWidth="1"/>
    <col min="8" max="8" width="30" customWidth="1"/>
    <col min="9" max="9" width="10" customWidth="1"/>
    <col min="10" max="10" width="11" customWidth="1"/>
    <col min="11" max="11" width="12" customWidth="1"/>
    <col min="12" max="12" width="10" customWidth="1"/>
  </cols>
  <sheetData>
    <row r="1" spans="1:12" ht="30" customHeight="1" x14ac:dyDescent="0.25">
      <c r="A1" s="11" t="s">
        <v>125</v>
      </c>
      <c r="B1" s="11" t="s">
        <v>126</v>
      </c>
      <c r="C1" s="11" t="s">
        <v>127</v>
      </c>
      <c r="D1" s="11" t="s">
        <v>128</v>
      </c>
      <c r="E1" s="11" t="s">
        <v>129</v>
      </c>
      <c r="F1" s="11" t="s">
        <v>59</v>
      </c>
      <c r="G1" s="11" t="s">
        <v>130</v>
      </c>
      <c r="H1" s="11" t="s">
        <v>60</v>
      </c>
      <c r="I1" s="11" t="s">
        <v>131</v>
      </c>
      <c r="J1" s="11" t="s">
        <v>132</v>
      </c>
      <c r="K1" s="11" t="s">
        <v>133</v>
      </c>
      <c r="L1" s="11" t="s">
        <v>134</v>
      </c>
    </row>
    <row r="2" spans="1:12" x14ac:dyDescent="0.25">
      <c r="A2" s="12">
        <v>1</v>
      </c>
      <c r="B2" s="12" t="s">
        <v>135</v>
      </c>
      <c r="C2" s="12" t="s">
        <v>136</v>
      </c>
      <c r="D2" s="14">
        <v>46312.01771990741</v>
      </c>
      <c r="E2" s="14">
        <v>46313.01666666667</v>
      </c>
      <c r="F2" s="12" t="s">
        <v>137</v>
      </c>
      <c r="G2" s="12" t="s">
        <v>138</v>
      </c>
      <c r="H2" s="13" t="s">
        <v>139</v>
      </c>
      <c r="I2" s="12">
        <v>1</v>
      </c>
      <c r="J2" s="12">
        <v>1</v>
      </c>
      <c r="K2" s="12">
        <f>I2-J2</f>
        <v>0</v>
      </c>
      <c r="L2" s="12" t="str">
        <f>IF(AND(F2="ACTIVO",K2&gt;0,E2&lt;Resumen!$B$4),"Sí","No")</f>
        <v>No</v>
      </c>
    </row>
    <row r="3" spans="1:12" x14ac:dyDescent="0.25">
      <c r="A3" s="12">
        <v>2</v>
      </c>
      <c r="B3" s="12" t="s">
        <v>135</v>
      </c>
      <c r="C3" s="12" t="s">
        <v>140</v>
      </c>
      <c r="D3" s="14">
        <v>46312.480208333327</v>
      </c>
      <c r="E3" s="14">
        <v>46313.479166666657</v>
      </c>
      <c r="F3" s="12" t="s">
        <v>141</v>
      </c>
      <c r="G3" s="12" t="s">
        <v>138</v>
      </c>
      <c r="H3" s="13"/>
      <c r="I3" s="12">
        <v>1</v>
      </c>
      <c r="J3" s="12">
        <v>0</v>
      </c>
      <c r="K3" s="12">
        <f>I3-J3</f>
        <v>1</v>
      </c>
      <c r="L3" s="12" t="str">
        <f>IF(AND(F3="ACTIVO",K3&gt;0,E3&lt;Resumen!$B$4),"Sí","No")</f>
        <v>Sí</v>
      </c>
    </row>
  </sheetData>
  <conditionalFormatting sqref="F2:F3">
    <cfRule type="cellIs" dxfId="124" priority="1" operator="equal">
      <formula>"DISPONIBLE"</formula>
    </cfRule>
    <cfRule type="cellIs" dxfId="123" priority="2" operator="equal">
      <formula>"PRESTADO"</formula>
    </cfRule>
    <cfRule type="cellIs" dxfId="122" priority="3" operator="equal">
      <formula>"DANADO"</formula>
    </cfRule>
    <cfRule type="cellIs" dxfId="121" priority="4" operator="equal">
      <formula>"MANTENIMIENTO"</formula>
    </cfRule>
    <cfRule type="cellIs" dxfId="120" priority="5" operator="equal">
      <formula>"BAJA"</formula>
    </cfRule>
    <cfRule type="cellIs" dxfId="119" priority="6" operator="equal">
      <formula>"ACTIVO"</formula>
    </cfRule>
    <cfRule type="cellIs" dxfId="118" priority="7" operator="equal">
      <formula>"FINALIZADO"</formula>
    </cfRule>
    <cfRule type="cellIs" dxfId="117" priority="8" operator="equal">
      <formula>"INACTIVO"</formula>
    </cfRule>
    <cfRule type="cellIs" dxfId="116" priority="9" operator="equal">
      <formula>"EN_PROCESO"</formula>
    </cfRule>
    <cfRule type="cellIs" dxfId="115" priority="10" operator="equal">
      <formula>"Pendiente"</formula>
    </cfRule>
    <cfRule type="cellIs" dxfId="114" priority="11" operator="equal">
      <formula>"Devuelto"</formula>
    </cfRule>
    <cfRule type="cellIs" dxfId="113" priority="12" operator="equal">
      <formula>"BUENO"</formula>
    </cfRule>
    <cfRule type="cellIs" dxfId="112" priority="13" operator="equal">
      <formula>"LOGIN_FALLIDO"</formula>
    </cfRule>
    <cfRule type="cellIs" dxfId="111" priority="14" operator="equal">
      <formula>"Sí"</formula>
    </cfRule>
  </conditionalFormatting>
  <conditionalFormatting sqref="L2:L3">
    <cfRule type="cellIs" dxfId="110" priority="15" operator="equal">
      <formula>"DISPONIBLE"</formula>
    </cfRule>
    <cfRule type="cellIs" dxfId="109" priority="16" operator="equal">
      <formula>"PRESTADO"</formula>
    </cfRule>
    <cfRule type="cellIs" dxfId="108" priority="17" operator="equal">
      <formula>"DANADO"</formula>
    </cfRule>
    <cfRule type="cellIs" dxfId="107" priority="18" operator="equal">
      <formula>"MANTENIMIENTO"</formula>
    </cfRule>
    <cfRule type="cellIs" dxfId="106" priority="19" operator="equal">
      <formula>"BAJA"</formula>
    </cfRule>
    <cfRule type="cellIs" dxfId="105" priority="20" operator="equal">
      <formula>"ACTIVO"</formula>
    </cfRule>
    <cfRule type="cellIs" dxfId="104" priority="21" operator="equal">
      <formula>"FINALIZADO"</formula>
    </cfRule>
    <cfRule type="cellIs" dxfId="103" priority="22" operator="equal">
      <formula>"INACTIVO"</formula>
    </cfRule>
    <cfRule type="cellIs" dxfId="102" priority="23" operator="equal">
      <formula>"EN_PROCESO"</formula>
    </cfRule>
    <cfRule type="cellIs" dxfId="101" priority="24" operator="equal">
      <formula>"Pendiente"</formula>
    </cfRule>
    <cfRule type="cellIs" dxfId="100" priority="25" operator="equal">
      <formula>"Devuelto"</formula>
    </cfRule>
    <cfRule type="cellIs" dxfId="99" priority="26" operator="equal">
      <formula>"BUENO"</formula>
    </cfRule>
    <cfRule type="cellIs" dxfId="98" priority="27" operator="equal">
      <formula>"LOGIN_FALLIDO"</formula>
    </cfRule>
    <cfRule type="cellIs" dxfId="97" priority="28" operator="equal">
      <formula>"Sí"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C9FF"/>
  </sheetPr>
  <dimension ref="A1:I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2" customWidth="1"/>
    <col min="3" max="3" width="14" customWidth="1"/>
    <col min="4" max="4" width="26" customWidth="1"/>
    <col min="5" max="5" width="12" customWidth="1"/>
    <col min="6" max="6" width="19" customWidth="1"/>
    <col min="7" max="7" width="12" customWidth="1"/>
    <col min="8" max="8" width="30" customWidth="1"/>
    <col min="9" max="9" width="22" customWidth="1"/>
  </cols>
  <sheetData>
    <row r="1" spans="1:9" ht="30" customHeight="1" x14ac:dyDescent="0.25">
      <c r="A1" s="11" t="s">
        <v>50</v>
      </c>
      <c r="B1" s="11" t="s">
        <v>142</v>
      </c>
      <c r="C1" s="11" t="s">
        <v>143</v>
      </c>
      <c r="D1" s="11" t="s">
        <v>144</v>
      </c>
      <c r="E1" s="11" t="s">
        <v>145</v>
      </c>
      <c r="F1" s="11" t="s">
        <v>146</v>
      </c>
      <c r="G1" s="11" t="s">
        <v>147</v>
      </c>
      <c r="H1" s="11" t="s">
        <v>148</v>
      </c>
      <c r="I1" s="11" t="s">
        <v>149</v>
      </c>
    </row>
    <row r="2" spans="1:9" x14ac:dyDescent="0.25">
      <c r="A2" s="12">
        <v>1</v>
      </c>
      <c r="B2" s="12">
        <v>1</v>
      </c>
      <c r="C2" s="12" t="s">
        <v>70</v>
      </c>
      <c r="D2" s="12" t="s">
        <v>71</v>
      </c>
      <c r="E2" s="12" t="s">
        <v>150</v>
      </c>
      <c r="F2" s="14">
        <v>46312.018229166657</v>
      </c>
      <c r="G2" s="12" t="s">
        <v>151</v>
      </c>
      <c r="H2" s="13" t="s">
        <v>152</v>
      </c>
      <c r="I2" s="12" t="s">
        <v>138</v>
      </c>
    </row>
    <row r="3" spans="1:9" x14ac:dyDescent="0.25">
      <c r="A3" s="12">
        <v>2</v>
      </c>
      <c r="B3" s="12">
        <v>2</v>
      </c>
      <c r="C3" s="12" t="s">
        <v>88</v>
      </c>
      <c r="D3" s="12" t="s">
        <v>89</v>
      </c>
      <c r="E3" s="12" t="s">
        <v>153</v>
      </c>
      <c r="F3" s="14"/>
      <c r="G3" s="12"/>
      <c r="H3" s="13"/>
      <c r="I3" s="12"/>
    </row>
  </sheetData>
  <conditionalFormatting sqref="E2:E3">
    <cfRule type="cellIs" dxfId="96" priority="1" operator="equal">
      <formula>"DISPONIBLE"</formula>
    </cfRule>
    <cfRule type="cellIs" dxfId="95" priority="2" operator="equal">
      <formula>"PRESTADO"</formula>
    </cfRule>
    <cfRule type="cellIs" dxfId="94" priority="3" operator="equal">
      <formula>"DANADO"</formula>
    </cfRule>
    <cfRule type="cellIs" dxfId="93" priority="4" operator="equal">
      <formula>"MANTENIMIENTO"</formula>
    </cfRule>
    <cfRule type="cellIs" dxfId="92" priority="5" operator="equal">
      <formula>"BAJA"</formula>
    </cfRule>
    <cfRule type="cellIs" dxfId="91" priority="6" operator="equal">
      <formula>"ACTIVO"</formula>
    </cfRule>
    <cfRule type="cellIs" dxfId="90" priority="7" operator="equal">
      <formula>"FINALIZADO"</formula>
    </cfRule>
    <cfRule type="cellIs" dxfId="89" priority="8" operator="equal">
      <formula>"INACTIVO"</formula>
    </cfRule>
    <cfRule type="cellIs" dxfId="88" priority="9" operator="equal">
      <formula>"EN_PROCESO"</formula>
    </cfRule>
    <cfRule type="cellIs" dxfId="87" priority="10" operator="equal">
      <formula>"Pendiente"</formula>
    </cfRule>
    <cfRule type="cellIs" dxfId="86" priority="11" operator="equal">
      <formula>"Devuelto"</formula>
    </cfRule>
    <cfRule type="cellIs" dxfId="85" priority="12" operator="equal">
      <formula>"BUENO"</formula>
    </cfRule>
    <cfRule type="cellIs" dxfId="84" priority="13" operator="equal">
      <formula>"LOGIN_FALLIDO"</formula>
    </cfRule>
    <cfRule type="cellIs" dxfId="83" priority="14" operator="equal">
      <formula>"Sí"</formula>
    </cfRule>
  </conditionalFormatting>
  <conditionalFormatting sqref="G2:G3">
    <cfRule type="cellIs" dxfId="82" priority="15" operator="equal">
      <formula>"DISPONIBLE"</formula>
    </cfRule>
    <cfRule type="cellIs" dxfId="81" priority="16" operator="equal">
      <formula>"PRESTADO"</formula>
    </cfRule>
    <cfRule type="cellIs" dxfId="80" priority="17" operator="equal">
      <formula>"DANADO"</formula>
    </cfRule>
    <cfRule type="cellIs" dxfId="79" priority="18" operator="equal">
      <formula>"MANTENIMIENTO"</formula>
    </cfRule>
    <cfRule type="cellIs" dxfId="78" priority="19" operator="equal">
      <formula>"BAJA"</formula>
    </cfRule>
    <cfRule type="cellIs" dxfId="77" priority="20" operator="equal">
      <formula>"ACTIVO"</formula>
    </cfRule>
    <cfRule type="cellIs" dxfId="76" priority="21" operator="equal">
      <formula>"FINALIZADO"</formula>
    </cfRule>
    <cfRule type="cellIs" dxfId="75" priority="22" operator="equal">
      <formula>"INACTIVO"</formula>
    </cfRule>
    <cfRule type="cellIs" dxfId="74" priority="23" operator="equal">
      <formula>"EN_PROCESO"</formula>
    </cfRule>
    <cfRule type="cellIs" dxfId="73" priority="24" operator="equal">
      <formula>"Pendiente"</formula>
    </cfRule>
    <cfRule type="cellIs" dxfId="72" priority="25" operator="equal">
      <formula>"Devuelto"</formula>
    </cfRule>
    <cfRule type="cellIs" dxfId="71" priority="26" operator="equal">
      <formula>"BUENO"</formula>
    </cfRule>
    <cfRule type="cellIs" dxfId="70" priority="27" operator="equal">
      <formula>"LOGIN_FALLIDO"</formula>
    </cfRule>
    <cfRule type="cellIs" dxfId="69" priority="28" operator="equal">
      <formula>"Sí"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C9FF"/>
  </sheetPr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2" customWidth="1"/>
    <col min="3" max="3" width="14" customWidth="1"/>
    <col min="4" max="4" width="26" customWidth="1"/>
    <col min="5" max="5" width="19" customWidth="1"/>
    <col min="6" max="6" width="12" customWidth="1"/>
    <col min="7" max="7" width="30" customWidth="1"/>
    <col min="8" max="8" width="22" customWidth="1"/>
  </cols>
  <sheetData>
    <row r="1" spans="1:8" ht="30" customHeight="1" x14ac:dyDescent="0.25">
      <c r="A1" s="11" t="s">
        <v>50</v>
      </c>
      <c r="B1" s="11" t="s">
        <v>142</v>
      </c>
      <c r="C1" s="11" t="s">
        <v>143</v>
      </c>
      <c r="D1" s="11" t="s">
        <v>144</v>
      </c>
      <c r="E1" s="11" t="s">
        <v>146</v>
      </c>
      <c r="F1" s="11" t="s">
        <v>147</v>
      </c>
      <c r="G1" s="11" t="s">
        <v>148</v>
      </c>
      <c r="H1" s="11" t="s">
        <v>149</v>
      </c>
    </row>
    <row r="2" spans="1:8" x14ac:dyDescent="0.25">
      <c r="A2" s="12">
        <v>1</v>
      </c>
      <c r="B2" s="12">
        <v>1</v>
      </c>
      <c r="C2" s="12" t="s">
        <v>70</v>
      </c>
      <c r="D2" s="12" t="s">
        <v>71</v>
      </c>
      <c r="E2" s="14">
        <v>46312.018229166657</v>
      </c>
      <c r="F2" s="12" t="s">
        <v>151</v>
      </c>
      <c r="G2" s="13" t="s">
        <v>152</v>
      </c>
      <c r="H2" s="12" t="s">
        <v>138</v>
      </c>
    </row>
  </sheetData>
  <conditionalFormatting sqref="F2">
    <cfRule type="cellIs" dxfId="68" priority="1" operator="equal">
      <formula>"DISPONIBLE"</formula>
    </cfRule>
    <cfRule type="cellIs" dxfId="67" priority="2" operator="equal">
      <formula>"PRESTADO"</formula>
    </cfRule>
    <cfRule type="cellIs" dxfId="66" priority="3" operator="equal">
      <formula>"DANADO"</formula>
    </cfRule>
    <cfRule type="cellIs" dxfId="65" priority="4" operator="equal">
      <formula>"MANTENIMIENTO"</formula>
    </cfRule>
    <cfRule type="cellIs" dxfId="64" priority="5" operator="equal">
      <formula>"BAJA"</formula>
    </cfRule>
    <cfRule type="cellIs" dxfId="63" priority="6" operator="equal">
      <formula>"ACTIVO"</formula>
    </cfRule>
    <cfRule type="cellIs" dxfId="62" priority="7" operator="equal">
      <formula>"FINALIZADO"</formula>
    </cfRule>
    <cfRule type="cellIs" dxfId="61" priority="8" operator="equal">
      <formula>"INACTIVO"</formula>
    </cfRule>
    <cfRule type="cellIs" dxfId="60" priority="9" operator="equal">
      <formula>"EN_PROCESO"</formula>
    </cfRule>
    <cfRule type="cellIs" dxfId="59" priority="10" operator="equal">
      <formula>"Pendiente"</formula>
    </cfRule>
    <cfRule type="cellIs" dxfId="58" priority="11" operator="equal">
      <formula>"Devuelto"</formula>
    </cfRule>
    <cfRule type="cellIs" dxfId="57" priority="12" operator="equal">
      <formula>"BUENO"</formula>
    </cfRule>
    <cfRule type="cellIs" dxfId="56" priority="13" operator="equal">
      <formula>"LOGIN_FALLIDO"</formula>
    </cfRule>
    <cfRule type="cellIs" dxfId="55" priority="14" operator="equal">
      <formula>"Sí"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C9FF"/>
  </sheetPr>
  <dimension ref="A1:L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4" customWidth="1"/>
    <col min="3" max="3" width="24" customWidth="1"/>
    <col min="4" max="4" width="13" customWidth="1"/>
    <col min="5" max="5" width="34" customWidth="1"/>
    <col min="6" max="6" width="20" customWidth="1"/>
    <col min="7" max="8" width="17" customWidth="1"/>
    <col min="9" max="9" width="14" customWidth="1"/>
    <col min="10" max="10" width="15" customWidth="1"/>
    <col min="11" max="11" width="28" customWidth="1"/>
    <col min="12" max="12" width="22" customWidth="1"/>
  </cols>
  <sheetData>
    <row r="1" spans="1:12" ht="30" customHeight="1" x14ac:dyDescent="0.25">
      <c r="A1" s="11" t="s">
        <v>50</v>
      </c>
      <c r="B1" s="11" t="s">
        <v>143</v>
      </c>
      <c r="C1" s="11" t="s">
        <v>144</v>
      </c>
      <c r="D1" s="11" t="s">
        <v>53</v>
      </c>
      <c r="E1" s="11" t="s">
        <v>154</v>
      </c>
      <c r="F1" s="11" t="s">
        <v>155</v>
      </c>
      <c r="G1" s="11" t="s">
        <v>156</v>
      </c>
      <c r="H1" s="11" t="s">
        <v>157</v>
      </c>
      <c r="I1" s="11" t="s">
        <v>59</v>
      </c>
      <c r="J1" s="11" t="s">
        <v>158</v>
      </c>
      <c r="K1" s="11" t="s">
        <v>60</v>
      </c>
      <c r="L1" s="11" t="s">
        <v>130</v>
      </c>
    </row>
    <row r="2" spans="1:12" x14ac:dyDescent="0.25">
      <c r="A2" s="5" t="s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9BB0"/>
  </sheetPr>
  <dimension ref="A1:I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5" customWidth="1"/>
    <col min="3" max="4" width="16" customWidth="1"/>
    <col min="5" max="5" width="30" customWidth="1"/>
    <col min="6" max="6" width="13" customWidth="1"/>
    <col min="7" max="7" width="12" customWidth="1"/>
    <col min="8" max="8" width="17" customWidth="1"/>
    <col min="9" max="9" width="12" customWidth="1"/>
  </cols>
  <sheetData>
    <row r="1" spans="1:9" ht="30" customHeight="1" x14ac:dyDescent="0.25">
      <c r="A1" s="11" t="s">
        <v>50</v>
      </c>
      <c r="B1" s="11" t="s">
        <v>160</v>
      </c>
      <c r="C1" s="11" t="s">
        <v>52</v>
      </c>
      <c r="D1" s="11" t="s">
        <v>161</v>
      </c>
      <c r="E1" s="11" t="s">
        <v>162</v>
      </c>
      <c r="F1" s="11" t="s">
        <v>163</v>
      </c>
      <c r="G1" s="11" t="s">
        <v>59</v>
      </c>
      <c r="H1" s="11" t="s">
        <v>164</v>
      </c>
      <c r="I1" s="11" t="s">
        <v>165</v>
      </c>
    </row>
    <row r="2" spans="1:9" x14ac:dyDescent="0.25">
      <c r="A2" s="12">
        <v>1</v>
      </c>
      <c r="B2" s="12" t="s">
        <v>166</v>
      </c>
      <c r="C2" s="12" t="s">
        <v>167</v>
      </c>
      <c r="D2" s="12" t="s">
        <v>168</v>
      </c>
      <c r="E2" s="12" t="s">
        <v>169</v>
      </c>
      <c r="F2" s="12" t="s">
        <v>170</v>
      </c>
      <c r="G2" s="12" t="s">
        <v>141</v>
      </c>
      <c r="H2" s="14">
        <v>46299.996215277781</v>
      </c>
      <c r="I2" s="12" t="s">
        <v>171</v>
      </c>
    </row>
    <row r="3" spans="1:9" x14ac:dyDescent="0.25">
      <c r="A3" s="12">
        <v>2</v>
      </c>
      <c r="B3" s="12" t="s">
        <v>172</v>
      </c>
      <c r="C3" s="12" t="s">
        <v>173</v>
      </c>
      <c r="D3" s="12" t="s">
        <v>174</v>
      </c>
      <c r="E3" s="12" t="s">
        <v>175</v>
      </c>
      <c r="F3" s="12" t="s">
        <v>176</v>
      </c>
      <c r="G3" s="12" t="s">
        <v>141</v>
      </c>
      <c r="H3" s="14">
        <v>46299.996215277781</v>
      </c>
      <c r="I3" s="12" t="s">
        <v>177</v>
      </c>
    </row>
    <row r="4" spans="1:9" x14ac:dyDescent="0.25">
      <c r="A4" s="12">
        <v>3</v>
      </c>
      <c r="B4" s="12" t="s">
        <v>178</v>
      </c>
      <c r="C4" s="12" t="s">
        <v>179</v>
      </c>
      <c r="D4" s="12" t="s">
        <v>180</v>
      </c>
      <c r="E4" s="12" t="s">
        <v>181</v>
      </c>
      <c r="F4" s="12" t="s">
        <v>182</v>
      </c>
      <c r="G4" s="12" t="s">
        <v>141</v>
      </c>
      <c r="H4" s="14">
        <v>46299.996215277781</v>
      </c>
      <c r="I4" s="12" t="s">
        <v>177</v>
      </c>
    </row>
    <row r="5" spans="1:9" x14ac:dyDescent="0.25">
      <c r="A5" s="12">
        <v>4</v>
      </c>
      <c r="B5" s="12" t="s">
        <v>183</v>
      </c>
      <c r="C5" s="12" t="s">
        <v>184</v>
      </c>
      <c r="D5" s="12" t="s">
        <v>185</v>
      </c>
      <c r="E5" s="12" t="s">
        <v>186</v>
      </c>
      <c r="F5" s="12" t="s">
        <v>176</v>
      </c>
      <c r="G5" s="12" t="s">
        <v>187</v>
      </c>
      <c r="H5" s="14">
        <v>46299.996215277781</v>
      </c>
      <c r="I5" s="12" t="s">
        <v>177</v>
      </c>
    </row>
    <row r="6" spans="1:9" x14ac:dyDescent="0.25">
      <c r="A6" s="12">
        <v>1002</v>
      </c>
      <c r="B6" s="12" t="s">
        <v>188</v>
      </c>
      <c r="C6" s="12" t="s">
        <v>189</v>
      </c>
      <c r="D6" s="12" t="s">
        <v>190</v>
      </c>
      <c r="E6" s="12" t="s">
        <v>191</v>
      </c>
      <c r="F6" s="12" t="s">
        <v>182</v>
      </c>
      <c r="G6" s="12" t="s">
        <v>141</v>
      </c>
      <c r="H6" s="14">
        <v>46312.7340625</v>
      </c>
      <c r="I6" s="12" t="s">
        <v>177</v>
      </c>
    </row>
    <row r="7" spans="1:9" x14ac:dyDescent="0.25">
      <c r="A7" s="12">
        <v>1003</v>
      </c>
      <c r="B7" s="12" t="s">
        <v>192</v>
      </c>
      <c r="C7" s="12" t="s">
        <v>193</v>
      </c>
      <c r="D7" s="12" t="s">
        <v>194</v>
      </c>
      <c r="E7" s="12" t="s">
        <v>195</v>
      </c>
      <c r="F7" s="12" t="s">
        <v>182</v>
      </c>
      <c r="G7" s="12" t="s">
        <v>141</v>
      </c>
      <c r="H7" s="14">
        <v>46312.748229166667</v>
      </c>
      <c r="I7" s="12" t="s">
        <v>171</v>
      </c>
    </row>
    <row r="8" spans="1:9" x14ac:dyDescent="0.25">
      <c r="A8" s="12">
        <v>1004</v>
      </c>
      <c r="B8" s="12" t="s">
        <v>196</v>
      </c>
      <c r="C8" s="12" t="s">
        <v>197</v>
      </c>
      <c r="D8" s="12" t="s">
        <v>198</v>
      </c>
      <c r="E8" s="12" t="s">
        <v>199</v>
      </c>
      <c r="F8" s="12" t="s">
        <v>182</v>
      </c>
      <c r="G8" s="12" t="s">
        <v>141</v>
      </c>
      <c r="H8" s="14">
        <v>46312.768009259264</v>
      </c>
      <c r="I8" s="12" t="s">
        <v>171</v>
      </c>
    </row>
    <row r="9" spans="1:9" x14ac:dyDescent="0.25">
      <c r="A9" s="12">
        <v>1005</v>
      </c>
      <c r="B9" s="12" t="s">
        <v>200</v>
      </c>
      <c r="C9" s="12" t="s">
        <v>200</v>
      </c>
      <c r="D9" s="12" t="s">
        <v>201</v>
      </c>
      <c r="E9" s="12" t="s">
        <v>202</v>
      </c>
      <c r="F9" s="12" t="s">
        <v>182</v>
      </c>
      <c r="G9" s="12" t="s">
        <v>141</v>
      </c>
      <c r="H9" s="14">
        <v>46312.768495370372</v>
      </c>
      <c r="I9" s="12" t="s">
        <v>171</v>
      </c>
    </row>
    <row r="10" spans="1:9" x14ac:dyDescent="0.25">
      <c r="A10" s="12">
        <v>1006</v>
      </c>
      <c r="B10" s="12" t="s">
        <v>203</v>
      </c>
      <c r="C10" s="12" t="s">
        <v>204</v>
      </c>
      <c r="D10" s="12" t="s">
        <v>205</v>
      </c>
      <c r="E10" s="12" t="s">
        <v>206</v>
      </c>
      <c r="F10" s="12" t="s">
        <v>182</v>
      </c>
      <c r="G10" s="12" t="s">
        <v>141</v>
      </c>
      <c r="H10" s="14">
        <v>46312.769363425927</v>
      </c>
      <c r="I10" s="12" t="s">
        <v>171</v>
      </c>
    </row>
    <row r="11" spans="1:9" x14ac:dyDescent="0.25">
      <c r="A11" s="12">
        <v>2002</v>
      </c>
      <c r="B11" s="12" t="s">
        <v>207</v>
      </c>
      <c r="C11" s="12" t="s">
        <v>208</v>
      </c>
      <c r="D11" s="12" t="s">
        <v>209</v>
      </c>
      <c r="E11" s="12" t="s">
        <v>210</v>
      </c>
      <c r="F11" s="12" t="s">
        <v>182</v>
      </c>
      <c r="G11" s="12" t="s">
        <v>141</v>
      </c>
      <c r="H11" s="14">
        <v>46312.776747685188</v>
      </c>
      <c r="I11" s="12" t="s">
        <v>171</v>
      </c>
    </row>
  </sheetData>
  <conditionalFormatting sqref="G2:G11">
    <cfRule type="cellIs" dxfId="54" priority="1" operator="equal">
      <formula>"DISPONIBLE"</formula>
    </cfRule>
    <cfRule type="cellIs" dxfId="53" priority="2" operator="equal">
      <formula>"PRESTADO"</formula>
    </cfRule>
    <cfRule type="cellIs" dxfId="52" priority="3" operator="equal">
      <formula>"DANADO"</formula>
    </cfRule>
    <cfRule type="cellIs" dxfId="51" priority="4" operator="equal">
      <formula>"MANTENIMIENTO"</formula>
    </cfRule>
    <cfRule type="cellIs" dxfId="50" priority="5" operator="equal">
      <formula>"BAJA"</formula>
    </cfRule>
    <cfRule type="cellIs" dxfId="49" priority="6" operator="equal">
      <formula>"ACTIVO"</formula>
    </cfRule>
    <cfRule type="cellIs" dxfId="48" priority="7" operator="equal">
      <formula>"FINALIZADO"</formula>
    </cfRule>
    <cfRule type="cellIs" dxfId="47" priority="8" operator="equal">
      <formula>"INACTIVO"</formula>
    </cfRule>
    <cfRule type="cellIs" dxfId="46" priority="9" operator="equal">
      <formula>"EN_PROCESO"</formula>
    </cfRule>
    <cfRule type="cellIs" dxfId="45" priority="10" operator="equal">
      <formula>"Pendiente"</formula>
    </cfRule>
    <cfRule type="cellIs" dxfId="44" priority="11" operator="equal">
      <formula>"Devuelto"</formula>
    </cfRule>
    <cfRule type="cellIs" dxfId="43" priority="12" operator="equal">
      <formula>"BUENO"</formula>
    </cfRule>
    <cfRule type="cellIs" dxfId="42" priority="13" operator="equal">
      <formula>"LOGIN_FALLIDO"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75569"/>
  </sheetPr>
  <dimension ref="A1:G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0" customWidth="1"/>
    <col min="3" max="3" width="30" customWidth="1"/>
    <col min="4" max="4" width="34" customWidth="1"/>
    <col min="5" max="6" width="11" customWidth="1"/>
    <col min="7" max="7" width="12" customWidth="1"/>
  </cols>
  <sheetData>
    <row r="1" spans="1:7" ht="30" customHeight="1" x14ac:dyDescent="0.25">
      <c r="A1" s="11" t="s">
        <v>50</v>
      </c>
      <c r="B1" s="11" t="s">
        <v>51</v>
      </c>
      <c r="C1" s="11" t="s">
        <v>52</v>
      </c>
      <c r="D1" s="11" t="s">
        <v>211</v>
      </c>
      <c r="E1" s="11" t="s">
        <v>212</v>
      </c>
      <c r="F1" s="11" t="s">
        <v>59</v>
      </c>
      <c r="G1" s="11" t="s">
        <v>213</v>
      </c>
    </row>
    <row r="2" spans="1:7" x14ac:dyDescent="0.25">
      <c r="A2" s="12">
        <v>1</v>
      </c>
      <c r="B2" s="12" t="s">
        <v>67</v>
      </c>
      <c r="C2" s="12" t="s">
        <v>68</v>
      </c>
      <c r="D2" s="13" t="s">
        <v>214</v>
      </c>
      <c r="E2" s="12">
        <v>30</v>
      </c>
      <c r="F2" s="12" t="s">
        <v>141</v>
      </c>
      <c r="G2" s="12">
        <f>COUNTIF(Equipos!$H:$H,B2)</f>
        <v>5</v>
      </c>
    </row>
    <row r="3" spans="1:7" x14ac:dyDescent="0.25">
      <c r="A3" s="12">
        <v>2</v>
      </c>
      <c r="B3" s="12" t="s">
        <v>112</v>
      </c>
      <c r="C3" s="12" t="s">
        <v>113</v>
      </c>
      <c r="D3" s="13" t="s">
        <v>215</v>
      </c>
      <c r="E3" s="12">
        <v>24</v>
      </c>
      <c r="F3" s="12" t="s">
        <v>141</v>
      </c>
      <c r="G3" s="12">
        <f>COUNTIF(Equipos!$H:$H,B3)</f>
        <v>3</v>
      </c>
    </row>
    <row r="4" spans="1:7" x14ac:dyDescent="0.25">
      <c r="A4" s="12">
        <v>3</v>
      </c>
      <c r="B4" s="12" t="s">
        <v>80</v>
      </c>
      <c r="C4" s="12" t="s">
        <v>81</v>
      </c>
      <c r="D4" s="13" t="s">
        <v>216</v>
      </c>
      <c r="E4" s="12">
        <v>20</v>
      </c>
      <c r="F4" s="12" t="s">
        <v>141</v>
      </c>
      <c r="G4" s="12">
        <f>COUNTIF(Equipos!$H:$H,B4)</f>
        <v>2</v>
      </c>
    </row>
  </sheetData>
  <conditionalFormatting sqref="F2:F4">
    <cfRule type="cellIs" dxfId="41" priority="1" operator="equal">
      <formula>"DISPONIBLE"</formula>
    </cfRule>
    <cfRule type="cellIs" dxfId="40" priority="2" operator="equal">
      <formula>"PRESTADO"</formula>
    </cfRule>
    <cfRule type="cellIs" dxfId="39" priority="3" operator="equal">
      <formula>"DANADO"</formula>
    </cfRule>
    <cfRule type="cellIs" dxfId="38" priority="4" operator="equal">
      <formula>"MANTENIMIENTO"</formula>
    </cfRule>
    <cfRule type="cellIs" dxfId="37" priority="5" operator="equal">
      <formula>"BAJA"</formula>
    </cfRule>
    <cfRule type="cellIs" dxfId="36" priority="6" operator="equal">
      <formula>"ACTIVO"</formula>
    </cfRule>
    <cfRule type="cellIs" dxfId="35" priority="7" operator="equal">
      <formula>"FINALIZADO"</formula>
    </cfRule>
    <cfRule type="cellIs" dxfId="34" priority="8" operator="equal">
      <formula>"INACTIVO"</formula>
    </cfRule>
    <cfRule type="cellIs" dxfId="33" priority="9" operator="equal">
      <formula>"EN_PROCESO"</formula>
    </cfRule>
    <cfRule type="cellIs" dxfId="32" priority="10" operator="equal">
      <formula>"Pendiente"</formula>
    </cfRule>
    <cfRule type="cellIs" dxfId="31" priority="11" operator="equal">
      <formula>"Devuelto"</formula>
    </cfRule>
    <cfRule type="cellIs" dxfId="30" priority="12" operator="equal">
      <formula>"BUENO"</formula>
    </cfRule>
    <cfRule type="cellIs" dxfId="29" priority="13" operator="equal">
      <formula>"LOGIN_FALLIDO"</formula>
    </cfRule>
    <cfRule type="cellIs" dxfId="28" priority="14" operator="equal">
      <formula>"Sí"</formula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75569"/>
  </sheetPr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20" customWidth="1"/>
    <col min="3" max="3" width="44" customWidth="1"/>
    <col min="4" max="4" width="11" customWidth="1"/>
    <col min="5" max="5" width="10" customWidth="1"/>
  </cols>
  <sheetData>
    <row r="1" spans="1:5" ht="30" customHeight="1" x14ac:dyDescent="0.25">
      <c r="A1" s="11" t="s">
        <v>50</v>
      </c>
      <c r="B1" s="11" t="s">
        <v>52</v>
      </c>
      <c r="C1" s="11" t="s">
        <v>154</v>
      </c>
      <c r="D1" s="11" t="s">
        <v>59</v>
      </c>
      <c r="E1" s="11" t="s">
        <v>131</v>
      </c>
    </row>
    <row r="2" spans="1:5" x14ac:dyDescent="0.25">
      <c r="A2" s="12">
        <v>2</v>
      </c>
      <c r="B2" s="12" t="s">
        <v>63</v>
      </c>
      <c r="C2" s="13" t="s">
        <v>217</v>
      </c>
      <c r="D2" s="12" t="s">
        <v>141</v>
      </c>
      <c r="E2" s="12">
        <f>COUNTIF(Equipos!$D:$D,B2)</f>
        <v>2</v>
      </c>
    </row>
    <row r="3" spans="1:5" x14ac:dyDescent="0.25">
      <c r="A3" s="12">
        <v>8</v>
      </c>
      <c r="B3" s="12" t="s">
        <v>77</v>
      </c>
      <c r="C3" s="13" t="s">
        <v>218</v>
      </c>
      <c r="D3" s="12" t="s">
        <v>141</v>
      </c>
      <c r="E3" s="12">
        <f>COUNTIF(Equipos!$D:$D,B3)</f>
        <v>1</v>
      </c>
    </row>
    <row r="4" spans="1:5" x14ac:dyDescent="0.25">
      <c r="A4" s="12">
        <v>1</v>
      </c>
      <c r="B4" s="12" t="s">
        <v>84</v>
      </c>
      <c r="C4" s="13" t="s">
        <v>219</v>
      </c>
      <c r="D4" s="12" t="s">
        <v>141</v>
      </c>
      <c r="E4" s="12">
        <f>COUNTIF(Equipos!$D:$D,B4)</f>
        <v>2</v>
      </c>
    </row>
    <row r="5" spans="1:5" x14ac:dyDescent="0.25">
      <c r="A5" s="12">
        <v>7</v>
      </c>
      <c r="B5" s="12" t="s">
        <v>96</v>
      </c>
      <c r="C5" s="13" t="s">
        <v>220</v>
      </c>
      <c r="D5" s="12" t="s">
        <v>141</v>
      </c>
      <c r="E5" s="12">
        <f>COUNTIF(Equipos!$D:$D,B5)</f>
        <v>1</v>
      </c>
    </row>
    <row r="6" spans="1:5" x14ac:dyDescent="0.25">
      <c r="A6" s="12">
        <v>3</v>
      </c>
      <c r="B6" s="12" t="s">
        <v>102</v>
      </c>
      <c r="C6" s="13" t="s">
        <v>221</v>
      </c>
      <c r="D6" s="12" t="s">
        <v>141</v>
      </c>
      <c r="E6" s="12">
        <f>COUNTIF(Equipos!$D:$D,B6)</f>
        <v>1</v>
      </c>
    </row>
    <row r="7" spans="1:5" x14ac:dyDescent="0.25">
      <c r="A7" s="12">
        <v>4</v>
      </c>
      <c r="B7" s="12" t="s">
        <v>108</v>
      </c>
      <c r="C7" s="13" t="s">
        <v>222</v>
      </c>
      <c r="D7" s="12" t="s">
        <v>141</v>
      </c>
      <c r="E7" s="12">
        <f>COUNTIF(Equipos!$D:$D,B7)</f>
        <v>1</v>
      </c>
    </row>
    <row r="8" spans="1:5" x14ac:dyDescent="0.25">
      <c r="A8" s="12">
        <v>5</v>
      </c>
      <c r="B8" s="12" t="s">
        <v>116</v>
      </c>
      <c r="C8" s="13" t="s">
        <v>223</v>
      </c>
      <c r="D8" s="12" t="s">
        <v>141</v>
      </c>
      <c r="E8" s="12">
        <f>COUNTIF(Equipos!$D:$D,B8)</f>
        <v>1</v>
      </c>
    </row>
    <row r="9" spans="1:5" x14ac:dyDescent="0.25">
      <c r="A9" s="12">
        <v>6</v>
      </c>
      <c r="B9" s="12" t="s">
        <v>121</v>
      </c>
      <c r="C9" s="13" t="s">
        <v>224</v>
      </c>
      <c r="D9" s="12" t="s">
        <v>141</v>
      </c>
      <c r="E9" s="12">
        <f>COUNTIF(Equipos!$D:$D,B9)</f>
        <v>1</v>
      </c>
    </row>
  </sheetData>
  <conditionalFormatting sqref="D2:D9">
    <cfRule type="cellIs" dxfId="27" priority="1" operator="equal">
      <formula>"DISPONIBLE"</formula>
    </cfRule>
    <cfRule type="cellIs" dxfId="26" priority="2" operator="equal">
      <formula>"PRESTADO"</formula>
    </cfRule>
    <cfRule type="cellIs" dxfId="25" priority="3" operator="equal">
      <formula>"DANADO"</formula>
    </cfRule>
    <cfRule type="cellIs" dxfId="24" priority="4" operator="equal">
      <formula>"MANTENIMIENTO"</formula>
    </cfRule>
    <cfRule type="cellIs" dxfId="23" priority="5" operator="equal">
      <formula>"BAJA"</formula>
    </cfRule>
    <cfRule type="cellIs" dxfId="22" priority="6" operator="equal">
      <formula>"ACTIVO"</formula>
    </cfRule>
    <cfRule type="cellIs" dxfId="21" priority="7" operator="equal">
      <formula>"FINALIZADO"</formula>
    </cfRule>
    <cfRule type="cellIs" dxfId="20" priority="8" operator="equal">
      <formula>"INACTIVO"</formula>
    </cfRule>
    <cfRule type="cellIs" dxfId="19" priority="9" operator="equal">
      <formula>"EN_PROCESO"</formula>
    </cfRule>
    <cfRule type="cellIs" dxfId="18" priority="10" operator="equal">
      <formula>"Pendiente"</formula>
    </cfRule>
    <cfRule type="cellIs" dxfId="17" priority="11" operator="equal">
      <formula>"Devuelto"</formula>
    </cfRule>
    <cfRule type="cellIs" dxfId="16" priority="12" operator="equal">
      <formula>"BUENO"</formula>
    </cfRule>
    <cfRule type="cellIs" dxfId="15" priority="13" operator="equal">
      <formula>"LOGIN_FALLIDO"</formula>
    </cfRule>
    <cfRule type="cellIs" dxfId="14" priority="14" operator="equal">
      <formula>"Sí"</formula>
    </cfRule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75569"/>
  </sheetPr>
  <dimension ref="A1:D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4" customWidth="1"/>
    <col min="3" max="3" width="50" customWidth="1"/>
    <col min="4" max="4" width="10" customWidth="1"/>
  </cols>
  <sheetData>
    <row r="1" spans="1:4" ht="30" customHeight="1" x14ac:dyDescent="0.25">
      <c r="A1" s="11" t="s">
        <v>50</v>
      </c>
      <c r="B1" s="11" t="s">
        <v>163</v>
      </c>
      <c r="C1" s="11" t="s">
        <v>154</v>
      </c>
      <c r="D1" s="11" t="s">
        <v>28</v>
      </c>
    </row>
    <row r="2" spans="1:4" x14ac:dyDescent="0.25">
      <c r="A2" s="12">
        <v>1</v>
      </c>
      <c r="B2" s="12" t="s">
        <v>170</v>
      </c>
      <c r="C2" s="13" t="s">
        <v>225</v>
      </c>
      <c r="D2" s="12">
        <f>COUNTIF(Usuarios!$F:$F,B2)</f>
        <v>1</v>
      </c>
    </row>
    <row r="3" spans="1:4" ht="25.5" x14ac:dyDescent="0.25">
      <c r="A3" s="12">
        <v>2</v>
      </c>
      <c r="B3" s="12" t="s">
        <v>176</v>
      </c>
      <c r="C3" s="13" t="s">
        <v>226</v>
      </c>
      <c r="D3" s="12">
        <f>COUNTIF(Usuarios!$F:$F,B3)</f>
        <v>2</v>
      </c>
    </row>
    <row r="4" spans="1:4" x14ac:dyDescent="0.25">
      <c r="A4" s="12">
        <v>3</v>
      </c>
      <c r="B4" s="12" t="s">
        <v>182</v>
      </c>
      <c r="C4" s="13" t="s">
        <v>227</v>
      </c>
      <c r="D4" s="12">
        <f>COUNTIF(Usuarios!$F:$F,B4)</f>
        <v>7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4748B"/>
  </sheetPr>
  <dimension ref="A1:G4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7" customWidth="1"/>
    <col min="2" max="2" width="17" customWidth="1"/>
    <col min="3" max="3" width="26" customWidth="1"/>
    <col min="4" max="4" width="14" customWidth="1"/>
    <col min="5" max="5" width="11" customWidth="1"/>
    <col min="6" max="6" width="15" customWidth="1"/>
    <col min="7" max="7" width="50" customWidth="1"/>
  </cols>
  <sheetData>
    <row r="1" spans="1:7" ht="30" customHeight="1" x14ac:dyDescent="0.25">
      <c r="A1" s="11" t="s">
        <v>50</v>
      </c>
      <c r="B1" s="11" t="s">
        <v>228</v>
      </c>
      <c r="C1" s="11" t="s">
        <v>229</v>
      </c>
      <c r="D1" s="11" t="s">
        <v>230</v>
      </c>
      <c r="E1" s="11" t="s">
        <v>231</v>
      </c>
      <c r="F1" s="11" t="s">
        <v>160</v>
      </c>
      <c r="G1" s="11" t="s">
        <v>154</v>
      </c>
    </row>
    <row r="2" spans="1:7" x14ac:dyDescent="0.25">
      <c r="A2" s="12">
        <v>40005</v>
      </c>
      <c r="B2" s="14">
        <v>46320.570011574076</v>
      </c>
      <c r="C2" s="12" t="s">
        <v>232</v>
      </c>
      <c r="D2" s="12" t="s">
        <v>160</v>
      </c>
      <c r="E2" s="12">
        <v>1</v>
      </c>
      <c r="F2" s="12" t="s">
        <v>166</v>
      </c>
      <c r="G2" s="13" t="s">
        <v>233</v>
      </c>
    </row>
    <row r="3" spans="1:7" x14ac:dyDescent="0.25">
      <c r="A3" s="12">
        <v>40004</v>
      </c>
      <c r="B3" s="14">
        <v>46320.568368055552</v>
      </c>
      <c r="C3" s="12" t="s">
        <v>234</v>
      </c>
      <c r="D3" s="12" t="s">
        <v>160</v>
      </c>
      <c r="E3" s="12">
        <v>1</v>
      </c>
      <c r="F3" s="12" t="s">
        <v>166</v>
      </c>
      <c r="G3" s="13" t="s">
        <v>235</v>
      </c>
    </row>
    <row r="4" spans="1:7" x14ac:dyDescent="0.25">
      <c r="A4" s="12">
        <v>40003</v>
      </c>
      <c r="B4" s="14">
        <v>46320.56827546296</v>
      </c>
      <c r="C4" s="12" t="s">
        <v>234</v>
      </c>
      <c r="D4" s="12" t="s">
        <v>160</v>
      </c>
      <c r="E4" s="12">
        <v>1</v>
      </c>
      <c r="F4" s="12" t="s">
        <v>166</v>
      </c>
      <c r="G4" s="13" t="s">
        <v>235</v>
      </c>
    </row>
    <row r="5" spans="1:7" x14ac:dyDescent="0.25">
      <c r="A5" s="12">
        <v>40002</v>
      </c>
      <c r="B5" s="14">
        <v>46319.512662037043</v>
      </c>
      <c r="C5" s="12" t="s">
        <v>232</v>
      </c>
      <c r="D5" s="12" t="s">
        <v>160</v>
      </c>
      <c r="E5" s="12">
        <v>1</v>
      </c>
      <c r="F5" s="12" t="s">
        <v>166</v>
      </c>
      <c r="G5" s="13" t="s">
        <v>236</v>
      </c>
    </row>
    <row r="6" spans="1:7" x14ac:dyDescent="0.25">
      <c r="A6" s="12">
        <v>30003</v>
      </c>
      <c r="B6" s="14">
        <v>46312.527129629627</v>
      </c>
      <c r="C6" s="12" t="s">
        <v>232</v>
      </c>
      <c r="D6" s="12" t="s">
        <v>160</v>
      </c>
      <c r="E6" s="12">
        <v>2002</v>
      </c>
      <c r="F6" s="12" t="s">
        <v>207</v>
      </c>
      <c r="G6" s="13" t="s">
        <v>236</v>
      </c>
    </row>
    <row r="7" spans="1:7" x14ac:dyDescent="0.25">
      <c r="A7" s="12">
        <v>30002</v>
      </c>
      <c r="B7" s="14">
        <v>46312.526863425926</v>
      </c>
      <c r="C7" s="12" t="s">
        <v>237</v>
      </c>
      <c r="D7" s="12" t="s">
        <v>238</v>
      </c>
      <c r="E7" s="12">
        <v>2002</v>
      </c>
      <c r="F7" s="12" t="s">
        <v>207</v>
      </c>
      <c r="G7" s="13" t="s">
        <v>239</v>
      </c>
    </row>
    <row r="8" spans="1:7" x14ac:dyDescent="0.25">
      <c r="A8" s="12">
        <v>20021</v>
      </c>
      <c r="B8" s="14">
        <v>46312.521504629629</v>
      </c>
      <c r="C8" s="12" t="s">
        <v>232</v>
      </c>
      <c r="D8" s="12" t="s">
        <v>160</v>
      </c>
      <c r="E8" s="12">
        <v>1004</v>
      </c>
      <c r="F8" s="12" t="s">
        <v>196</v>
      </c>
      <c r="G8" s="13" t="s">
        <v>236</v>
      </c>
    </row>
    <row r="9" spans="1:7" x14ac:dyDescent="0.25">
      <c r="A9" s="12">
        <v>20020</v>
      </c>
      <c r="B9" s="14">
        <v>46312.521145833343</v>
      </c>
      <c r="C9" s="12" t="s">
        <v>232</v>
      </c>
      <c r="D9" s="12" t="s">
        <v>160</v>
      </c>
      <c r="E9" s="12">
        <v>1003</v>
      </c>
      <c r="F9" s="12" t="s">
        <v>192</v>
      </c>
      <c r="G9" s="13" t="s">
        <v>236</v>
      </c>
    </row>
    <row r="10" spans="1:7" x14ac:dyDescent="0.25">
      <c r="A10" s="12">
        <v>20019</v>
      </c>
      <c r="B10" s="14">
        <v>46312.520613425928</v>
      </c>
      <c r="C10" s="12" t="s">
        <v>232</v>
      </c>
      <c r="D10" s="12" t="s">
        <v>160</v>
      </c>
      <c r="E10" s="12">
        <v>1</v>
      </c>
      <c r="F10" s="12" t="s">
        <v>166</v>
      </c>
      <c r="G10" s="13" t="s">
        <v>236</v>
      </c>
    </row>
    <row r="11" spans="1:7" x14ac:dyDescent="0.25">
      <c r="A11" s="12">
        <v>20018</v>
      </c>
      <c r="B11" s="14">
        <v>46312.52039351852</v>
      </c>
      <c r="C11" s="12" t="s">
        <v>232</v>
      </c>
      <c r="D11" s="12" t="s">
        <v>160</v>
      </c>
      <c r="E11" s="12">
        <v>1005</v>
      </c>
      <c r="F11" s="12" t="s">
        <v>200</v>
      </c>
      <c r="G11" s="13" t="s">
        <v>236</v>
      </c>
    </row>
    <row r="12" spans="1:7" x14ac:dyDescent="0.25">
      <c r="A12" s="12">
        <v>20017</v>
      </c>
      <c r="B12" s="14">
        <v>46312.52008101852</v>
      </c>
      <c r="C12" s="12" t="s">
        <v>232</v>
      </c>
      <c r="D12" s="12" t="s">
        <v>160</v>
      </c>
      <c r="E12" s="12">
        <v>1006</v>
      </c>
      <c r="F12" s="12" t="s">
        <v>203</v>
      </c>
      <c r="G12" s="13" t="s">
        <v>236</v>
      </c>
    </row>
    <row r="13" spans="1:7" x14ac:dyDescent="0.25">
      <c r="A13" s="12">
        <v>20016</v>
      </c>
      <c r="B13" s="14">
        <v>46312.519594907397</v>
      </c>
      <c r="C13" s="12" t="s">
        <v>237</v>
      </c>
      <c r="D13" s="12" t="s">
        <v>238</v>
      </c>
      <c r="E13" s="12">
        <v>1006</v>
      </c>
      <c r="F13" s="12" t="s">
        <v>203</v>
      </c>
      <c r="G13" s="13" t="s">
        <v>240</v>
      </c>
    </row>
    <row r="14" spans="1:7" x14ac:dyDescent="0.25">
      <c r="A14" s="12">
        <v>20015</v>
      </c>
      <c r="B14" s="14">
        <v>46312.518564814818</v>
      </c>
      <c r="C14" s="12" t="s">
        <v>237</v>
      </c>
      <c r="D14" s="12" t="s">
        <v>238</v>
      </c>
      <c r="E14" s="12">
        <v>1005</v>
      </c>
      <c r="F14" s="12" t="s">
        <v>200</v>
      </c>
      <c r="G14" s="13" t="s">
        <v>241</v>
      </c>
    </row>
    <row r="15" spans="1:7" x14ac:dyDescent="0.25">
      <c r="A15" s="12">
        <v>20014</v>
      </c>
      <c r="B15" s="14">
        <v>46312.518171296288</v>
      </c>
      <c r="C15" s="12" t="s">
        <v>237</v>
      </c>
      <c r="D15" s="12" t="s">
        <v>238</v>
      </c>
      <c r="E15" s="12">
        <v>1004</v>
      </c>
      <c r="F15" s="12" t="s">
        <v>196</v>
      </c>
      <c r="G15" s="13" t="s">
        <v>242</v>
      </c>
    </row>
    <row r="16" spans="1:7" x14ac:dyDescent="0.25">
      <c r="A16" s="12">
        <v>20013</v>
      </c>
      <c r="B16" s="14">
        <v>46312.49895833333</v>
      </c>
      <c r="C16" s="12" t="s">
        <v>232</v>
      </c>
      <c r="D16" s="12" t="s">
        <v>160</v>
      </c>
      <c r="E16" s="12">
        <v>1003</v>
      </c>
      <c r="F16" s="12" t="s">
        <v>192</v>
      </c>
      <c r="G16" s="13" t="s">
        <v>236</v>
      </c>
    </row>
    <row r="17" spans="1:7" x14ac:dyDescent="0.25">
      <c r="A17" s="12">
        <v>20012</v>
      </c>
      <c r="B17" s="14">
        <v>46312.498692129629</v>
      </c>
      <c r="C17" s="12" t="s">
        <v>234</v>
      </c>
      <c r="D17" s="12" t="s">
        <v>160</v>
      </c>
      <c r="E17" s="12"/>
      <c r="F17" s="12"/>
      <c r="G17" s="13" t="s">
        <v>243</v>
      </c>
    </row>
    <row r="18" spans="1:7" x14ac:dyDescent="0.25">
      <c r="A18" s="12">
        <v>20011</v>
      </c>
      <c r="B18" s="14">
        <v>46312.498356481483</v>
      </c>
      <c r="C18" s="12" t="s">
        <v>237</v>
      </c>
      <c r="D18" s="12" t="s">
        <v>238</v>
      </c>
      <c r="E18" s="12">
        <v>1003</v>
      </c>
      <c r="F18" s="12" t="s">
        <v>192</v>
      </c>
      <c r="G18" s="13" t="s">
        <v>244</v>
      </c>
    </row>
    <row r="19" spans="1:7" x14ac:dyDescent="0.25">
      <c r="A19" s="12">
        <v>20010</v>
      </c>
      <c r="B19" s="14">
        <v>46312.483541666668</v>
      </c>
      <c r="C19" s="12" t="s">
        <v>234</v>
      </c>
      <c r="D19" s="12" t="s">
        <v>160</v>
      </c>
      <c r="E19" s="12">
        <v>1</v>
      </c>
      <c r="F19" s="12" t="s">
        <v>166</v>
      </c>
      <c r="G19" s="13" t="s">
        <v>245</v>
      </c>
    </row>
    <row r="20" spans="1:7" x14ac:dyDescent="0.25">
      <c r="A20" s="12">
        <v>20009</v>
      </c>
      <c r="B20" s="14">
        <v>46312.480208333327</v>
      </c>
      <c r="C20" s="12" t="s">
        <v>246</v>
      </c>
      <c r="D20" s="12" t="s">
        <v>247</v>
      </c>
      <c r="E20" s="12">
        <v>2</v>
      </c>
      <c r="F20" s="12" t="s">
        <v>166</v>
      </c>
      <c r="G20" s="13" t="s">
        <v>248</v>
      </c>
    </row>
    <row r="21" spans="1:7" x14ac:dyDescent="0.25">
      <c r="A21" s="12">
        <v>20008</v>
      </c>
      <c r="B21" s="14">
        <v>46312.478159722217</v>
      </c>
      <c r="C21" s="12" t="s">
        <v>232</v>
      </c>
      <c r="D21" s="12" t="s">
        <v>160</v>
      </c>
      <c r="E21" s="12">
        <v>1</v>
      </c>
      <c r="F21" s="12" t="s">
        <v>166</v>
      </c>
      <c r="G21" s="13" t="s">
        <v>236</v>
      </c>
    </row>
    <row r="22" spans="1:7" x14ac:dyDescent="0.25">
      <c r="A22" s="12">
        <v>20007</v>
      </c>
      <c r="B22" s="14">
        <v>46312.470775462964</v>
      </c>
      <c r="C22" s="12" t="s">
        <v>234</v>
      </c>
      <c r="D22" s="12" t="s">
        <v>160</v>
      </c>
      <c r="E22" s="12">
        <v>1</v>
      </c>
      <c r="F22" s="12" t="s">
        <v>166</v>
      </c>
      <c r="G22" s="13" t="s">
        <v>245</v>
      </c>
    </row>
    <row r="23" spans="1:7" x14ac:dyDescent="0.25">
      <c r="A23" s="12">
        <v>20006</v>
      </c>
      <c r="B23" s="14">
        <v>46312.470567129632</v>
      </c>
      <c r="C23" s="12" t="s">
        <v>234</v>
      </c>
      <c r="D23" s="12" t="s">
        <v>160</v>
      </c>
      <c r="E23" s="12">
        <v>1</v>
      </c>
      <c r="F23" s="12" t="s">
        <v>166</v>
      </c>
      <c r="G23" s="13" t="s">
        <v>245</v>
      </c>
    </row>
    <row r="24" spans="1:7" x14ac:dyDescent="0.25">
      <c r="A24" s="12">
        <v>20005</v>
      </c>
      <c r="B24" s="14">
        <v>46312.4690625</v>
      </c>
      <c r="C24" s="12" t="s">
        <v>232</v>
      </c>
      <c r="D24" s="12" t="s">
        <v>160</v>
      </c>
      <c r="E24" s="12">
        <v>1</v>
      </c>
      <c r="F24" s="12" t="s">
        <v>166</v>
      </c>
      <c r="G24" s="13" t="s">
        <v>236</v>
      </c>
    </row>
    <row r="25" spans="1:7" x14ac:dyDescent="0.25">
      <c r="A25" s="12">
        <v>20004</v>
      </c>
      <c r="B25" s="14">
        <v>46312.468518518523</v>
      </c>
      <c r="C25" s="12" t="s">
        <v>237</v>
      </c>
      <c r="D25" s="12" t="s">
        <v>238</v>
      </c>
      <c r="E25" s="12">
        <v>1</v>
      </c>
      <c r="F25" s="12" t="s">
        <v>166</v>
      </c>
      <c r="G25" s="13" t="s">
        <v>249</v>
      </c>
    </row>
    <row r="26" spans="1:7" x14ac:dyDescent="0.25">
      <c r="A26" s="12">
        <v>20003</v>
      </c>
      <c r="B26" s="14">
        <v>46312.468368055554</v>
      </c>
      <c r="C26" s="12" t="s">
        <v>232</v>
      </c>
      <c r="D26" s="12" t="s">
        <v>160</v>
      </c>
      <c r="E26" s="12">
        <v>1</v>
      </c>
      <c r="F26" s="12" t="s">
        <v>166</v>
      </c>
      <c r="G26" s="13" t="s">
        <v>236</v>
      </c>
    </row>
    <row r="27" spans="1:7" x14ac:dyDescent="0.25">
      <c r="A27" s="12">
        <v>20002</v>
      </c>
      <c r="B27" s="14">
        <v>46312.468263888892</v>
      </c>
      <c r="C27" s="12" t="s">
        <v>234</v>
      </c>
      <c r="D27" s="12" t="s">
        <v>160</v>
      </c>
      <c r="E27" s="12"/>
      <c r="F27" s="12"/>
      <c r="G27" s="13" t="s">
        <v>250</v>
      </c>
    </row>
    <row r="28" spans="1:7" ht="25.5" x14ac:dyDescent="0.25">
      <c r="A28" s="12">
        <v>10005</v>
      </c>
      <c r="B28" s="14">
        <v>46312.018229166657</v>
      </c>
      <c r="C28" s="12" t="s">
        <v>251</v>
      </c>
      <c r="D28" s="12" t="s">
        <v>252</v>
      </c>
      <c r="E28" s="12">
        <v>1</v>
      </c>
      <c r="F28" s="12" t="s">
        <v>166</v>
      </c>
      <c r="G28" s="13" t="s">
        <v>253</v>
      </c>
    </row>
    <row r="29" spans="1:7" x14ac:dyDescent="0.25">
      <c r="A29" s="12">
        <v>10004</v>
      </c>
      <c r="B29" s="14">
        <v>46312.01771990741</v>
      </c>
      <c r="C29" s="12" t="s">
        <v>246</v>
      </c>
      <c r="D29" s="12" t="s">
        <v>247</v>
      </c>
      <c r="E29" s="12">
        <v>1</v>
      </c>
      <c r="F29" s="12" t="s">
        <v>166</v>
      </c>
      <c r="G29" s="13" t="s">
        <v>254</v>
      </c>
    </row>
    <row r="30" spans="1:7" x14ac:dyDescent="0.25">
      <c r="A30" s="12">
        <v>10003</v>
      </c>
      <c r="B30" s="14">
        <v>46312.016597222217</v>
      </c>
      <c r="C30" s="12" t="s">
        <v>232</v>
      </c>
      <c r="D30" s="12" t="s">
        <v>160</v>
      </c>
      <c r="E30" s="12">
        <v>1</v>
      </c>
      <c r="F30" s="12" t="s">
        <v>166</v>
      </c>
      <c r="G30" s="13" t="s">
        <v>236</v>
      </c>
    </row>
    <row r="31" spans="1:7" x14ac:dyDescent="0.25">
      <c r="A31" s="12">
        <v>10002</v>
      </c>
      <c r="B31" s="14">
        <v>46311.999456018522</v>
      </c>
      <c r="C31" s="12" t="s">
        <v>232</v>
      </c>
      <c r="D31" s="12" t="s">
        <v>160</v>
      </c>
      <c r="E31" s="12">
        <v>1</v>
      </c>
      <c r="F31" s="12" t="s">
        <v>166</v>
      </c>
      <c r="G31" s="13" t="s">
        <v>236</v>
      </c>
    </row>
    <row r="32" spans="1:7" x14ac:dyDescent="0.25">
      <c r="A32" s="12">
        <v>9</v>
      </c>
      <c r="B32" s="14">
        <v>46299.906770833331</v>
      </c>
      <c r="C32" s="12" t="s">
        <v>232</v>
      </c>
      <c r="D32" s="12" t="s">
        <v>160</v>
      </c>
      <c r="E32" s="12">
        <v>1</v>
      </c>
      <c r="F32" s="12" t="s">
        <v>166</v>
      </c>
      <c r="G32" s="13" t="s">
        <v>236</v>
      </c>
    </row>
    <row r="33" spans="1:7" x14ac:dyDescent="0.25">
      <c r="A33" s="12">
        <v>8</v>
      </c>
      <c r="B33" s="14">
        <v>46299.897719907407</v>
      </c>
      <c r="C33" s="12" t="s">
        <v>232</v>
      </c>
      <c r="D33" s="12" t="s">
        <v>160</v>
      </c>
      <c r="E33" s="12">
        <v>1</v>
      </c>
      <c r="F33" s="12" t="s">
        <v>166</v>
      </c>
      <c r="G33" s="13" t="s">
        <v>236</v>
      </c>
    </row>
    <row r="34" spans="1:7" x14ac:dyDescent="0.25">
      <c r="A34" s="12">
        <v>7</v>
      </c>
      <c r="B34" s="14">
        <v>46299.891817129632</v>
      </c>
      <c r="C34" s="12" t="s">
        <v>232</v>
      </c>
      <c r="D34" s="12" t="s">
        <v>160</v>
      </c>
      <c r="E34" s="12">
        <v>1</v>
      </c>
      <c r="F34" s="12" t="s">
        <v>166</v>
      </c>
      <c r="G34" s="13" t="s">
        <v>236</v>
      </c>
    </row>
    <row r="35" spans="1:7" x14ac:dyDescent="0.25">
      <c r="A35" s="12">
        <v>6</v>
      </c>
      <c r="B35" s="14">
        <v>46299.885520833333</v>
      </c>
      <c r="C35" s="12" t="s">
        <v>232</v>
      </c>
      <c r="D35" s="12" t="s">
        <v>160</v>
      </c>
      <c r="E35" s="12">
        <v>1</v>
      </c>
      <c r="F35" s="12" t="s">
        <v>166</v>
      </c>
      <c r="G35" s="13" t="s">
        <v>236</v>
      </c>
    </row>
    <row r="36" spans="1:7" x14ac:dyDescent="0.25">
      <c r="A36" s="12">
        <v>5</v>
      </c>
      <c r="B36" s="14">
        <v>46299.883506944447</v>
      </c>
      <c r="C36" s="12" t="s">
        <v>232</v>
      </c>
      <c r="D36" s="12" t="s">
        <v>160</v>
      </c>
      <c r="E36" s="12">
        <v>1</v>
      </c>
      <c r="F36" s="12" t="s">
        <v>166</v>
      </c>
      <c r="G36" s="13" t="s">
        <v>236</v>
      </c>
    </row>
    <row r="37" spans="1:7" x14ac:dyDescent="0.25">
      <c r="A37" s="12">
        <v>4</v>
      </c>
      <c r="B37" s="14">
        <v>46299.849050925928</v>
      </c>
      <c r="C37" s="12" t="s">
        <v>232</v>
      </c>
      <c r="D37" s="12" t="s">
        <v>160</v>
      </c>
      <c r="E37" s="12">
        <v>1</v>
      </c>
      <c r="F37" s="12" t="s">
        <v>166</v>
      </c>
      <c r="G37" s="13" t="s">
        <v>236</v>
      </c>
    </row>
    <row r="38" spans="1:7" x14ac:dyDescent="0.25">
      <c r="A38" s="12">
        <v>3</v>
      </c>
      <c r="B38" s="14">
        <v>46299.812268518523</v>
      </c>
      <c r="C38" s="12" t="s">
        <v>232</v>
      </c>
      <c r="D38" s="12" t="s">
        <v>160</v>
      </c>
      <c r="E38" s="12">
        <v>1</v>
      </c>
      <c r="F38" s="12" t="s">
        <v>166</v>
      </c>
      <c r="G38" s="13" t="s">
        <v>236</v>
      </c>
    </row>
    <row r="39" spans="1:7" x14ac:dyDescent="0.25">
      <c r="A39" s="12">
        <v>2</v>
      </c>
      <c r="B39" s="14">
        <v>46299.78361111111</v>
      </c>
      <c r="C39" s="12" t="s">
        <v>232</v>
      </c>
      <c r="D39" s="12" t="s">
        <v>160</v>
      </c>
      <c r="E39" s="12">
        <v>1</v>
      </c>
      <c r="F39" s="12" t="s">
        <v>166</v>
      </c>
      <c r="G39" s="13" t="s">
        <v>236</v>
      </c>
    </row>
    <row r="40" spans="1:7" x14ac:dyDescent="0.25">
      <c r="A40" s="12">
        <v>1</v>
      </c>
      <c r="B40" s="14">
        <v>46299.779247685183</v>
      </c>
      <c r="C40" s="12" t="s">
        <v>232</v>
      </c>
      <c r="D40" s="12" t="s">
        <v>160</v>
      </c>
      <c r="E40" s="12">
        <v>1</v>
      </c>
      <c r="F40" s="12" t="s">
        <v>166</v>
      </c>
      <c r="G40" s="13" t="s">
        <v>236</v>
      </c>
    </row>
  </sheetData>
  <conditionalFormatting sqref="C2:C40">
    <cfRule type="cellIs" dxfId="13" priority="1" operator="equal">
      <formula>"DISPONIBLE"</formula>
    </cfRule>
    <cfRule type="cellIs" dxfId="12" priority="2" operator="equal">
      <formula>"PRESTADO"</formula>
    </cfRule>
    <cfRule type="cellIs" dxfId="11" priority="3" operator="equal">
      <formula>"DANADO"</formula>
    </cfRule>
    <cfRule type="cellIs" dxfId="10" priority="4" operator="equal">
      <formula>"MANTENIMIENTO"</formula>
    </cfRule>
    <cfRule type="cellIs" dxfId="9" priority="5" operator="equal">
      <formula>"BAJA"</formula>
    </cfRule>
    <cfRule type="cellIs" dxfId="8" priority="6" operator="equal">
      <formula>"ACTIVO"</formula>
    </cfRule>
    <cfRule type="cellIs" dxfId="7" priority="7" operator="equal">
      <formula>"FINALIZADO"</formula>
    </cfRule>
    <cfRule type="cellIs" dxfId="6" priority="8" operator="equal">
      <formula>"INACTIVO"</formula>
    </cfRule>
    <cfRule type="cellIs" dxfId="5" priority="9" operator="equal">
      <formula>"EN_PROCESO"</formula>
    </cfRule>
    <cfRule type="cellIs" dxfId="4" priority="10" operator="equal">
      <formula>"Pendiente"</formula>
    </cfRule>
    <cfRule type="cellIs" dxfId="3" priority="11" operator="equal">
      <formula>"Devuelto"</formula>
    </cfRule>
    <cfRule type="cellIs" dxfId="2" priority="12" operator="equal">
      <formula>"BUENO"</formula>
    </cfRule>
    <cfRule type="cellIs" dxfId="1" priority="13" operator="equal">
      <formula>"LOGIN_FALLIDO"</formula>
    </cfRule>
    <cfRule type="cellIs" dxfId="0" priority="14" operator="equal">
      <formula>"Sí"</formula>
    </cfRule>
  </conditionalFormatting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4748B"/>
  </sheetPr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5" customWidth="1"/>
    <col min="3" max="4" width="17" customWidth="1"/>
    <col min="5" max="5" width="9" customWidth="1"/>
  </cols>
  <sheetData>
    <row r="1" spans="1:5" ht="30" customHeight="1" x14ac:dyDescent="0.25">
      <c r="A1" s="11" t="s">
        <v>50</v>
      </c>
      <c r="B1" s="11" t="s">
        <v>160</v>
      </c>
      <c r="C1" s="11" t="s">
        <v>255</v>
      </c>
      <c r="D1" s="11" t="s">
        <v>256</v>
      </c>
      <c r="E1" s="11" t="s">
        <v>257</v>
      </c>
    </row>
    <row r="2" spans="1:5" x14ac:dyDescent="0.25">
      <c r="A2" s="5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Equipos</vt:lpstr>
      <vt:lpstr>Préstamos</vt:lpstr>
      <vt:lpstr>Detalle de préstamos</vt:lpstr>
      <vt:lpstr>Devoluciones</vt:lpstr>
      <vt:lpstr>Mantenimientos</vt:lpstr>
      <vt:lpstr>Usuarios</vt:lpstr>
      <vt:lpstr>Laboratorios</vt:lpstr>
      <vt:lpstr>Tipos de equipo</vt:lpstr>
      <vt:lpstr>Roles</vt:lpstr>
      <vt:lpstr>Auditoría</vt:lpstr>
      <vt:lpstr>Recuperaciones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Keivn Veliz</cp:lastModifiedBy>
  <dcterms:created xsi:type="dcterms:W3CDTF">2026-10-27T03:03:38Z</dcterms:created>
  <dcterms:modified xsi:type="dcterms:W3CDTF">2026-10-27T03:04:07Z</dcterms:modified>
</cp:coreProperties>
</file>